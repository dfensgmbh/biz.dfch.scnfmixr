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55D75806-14A6-4722-8248-7117C0A026F8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F57" i="1"/>
  <c r="E57" i="1"/>
  <c r="H41" i="1"/>
  <c r="F41" i="1"/>
  <c r="E41" i="1"/>
  <c r="H33" i="1"/>
  <c r="F33" i="1"/>
  <c r="E33" i="1"/>
  <c r="H29" i="1"/>
  <c r="F29" i="1"/>
  <c r="E29" i="1"/>
  <c r="H25" i="1"/>
  <c r="F25" i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9" i="1"/>
  <c r="F59" i="1"/>
  <c r="E59" i="1"/>
  <c r="H64" i="1"/>
  <c r="F64" i="1"/>
  <c r="E64" i="1"/>
  <c r="H68" i="1"/>
  <c r="F68" i="1"/>
  <c r="E68" i="1"/>
  <c r="H80" i="1"/>
  <c r="F80" i="1"/>
  <c r="E80" i="1"/>
  <c r="H86" i="1"/>
  <c r="F86" i="1"/>
  <c r="E86" i="1"/>
  <c r="H100" i="1"/>
  <c r="F100" i="1"/>
  <c r="E100" i="1"/>
  <c r="H114" i="1"/>
  <c r="F114" i="1"/>
  <c r="E114" i="1"/>
  <c r="H128" i="1"/>
  <c r="F128" i="1"/>
  <c r="E128" i="1"/>
  <c r="H138" i="1"/>
  <c r="F138" i="1"/>
  <c r="E138" i="1"/>
  <c r="I57" i="1" l="1"/>
  <c r="G57" i="1"/>
  <c r="I25" i="1"/>
  <c r="I21" i="1"/>
  <c r="I41" i="1"/>
  <c r="G41" i="1"/>
  <c r="I33" i="1"/>
  <c r="G33" i="1"/>
  <c r="I29" i="1"/>
  <c r="G29" i="1"/>
  <c r="G25" i="1"/>
  <c r="G21" i="1"/>
  <c r="I9" i="1"/>
  <c r="I13" i="1"/>
  <c r="I100" i="1"/>
  <c r="I80" i="1"/>
  <c r="I2" i="1"/>
  <c r="G2" i="1"/>
  <c r="I138" i="1"/>
  <c r="I17" i="1"/>
  <c r="G17" i="1"/>
  <c r="G13" i="1"/>
  <c r="G9" i="1"/>
  <c r="I5" i="1"/>
  <c r="G5" i="1"/>
  <c r="I59" i="1"/>
  <c r="G59" i="1"/>
  <c r="I64" i="1"/>
  <c r="G64" i="1"/>
  <c r="I68" i="1"/>
  <c r="G68" i="1"/>
  <c r="G80" i="1"/>
  <c r="I86" i="1"/>
  <c r="G86" i="1"/>
  <c r="G100" i="1"/>
  <c r="I128" i="1"/>
  <c r="I114" i="1"/>
  <c r="G114" i="1"/>
  <c r="G128" i="1"/>
  <c r="G138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1" i="1"/>
  <c r="F101" i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9" i="1"/>
  <c r="F129" i="1"/>
  <c r="H129" i="1"/>
  <c r="E130" i="1"/>
  <c r="F130" i="1"/>
  <c r="H130" i="1"/>
  <c r="E131" i="1"/>
  <c r="F131" i="1"/>
  <c r="H131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9" i="1"/>
  <c r="F139" i="1"/>
  <c r="H139" i="1"/>
  <c r="E140" i="1"/>
  <c r="F140" i="1"/>
  <c r="H140" i="1"/>
  <c r="E141" i="1"/>
  <c r="F141" i="1"/>
  <c r="H141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8" i="1"/>
  <c r="F60" i="1"/>
  <c r="H58" i="1"/>
  <c r="H60" i="1"/>
  <c r="E51" i="1"/>
  <c r="H51" i="1"/>
  <c r="E52" i="1"/>
  <c r="H52" i="1"/>
  <c r="E53" i="1"/>
  <c r="H53" i="1"/>
  <c r="E54" i="1"/>
  <c r="H54" i="1"/>
  <c r="E55" i="1"/>
  <c r="H55" i="1"/>
  <c r="E56" i="1"/>
  <c r="H56" i="1"/>
  <c r="E58" i="1"/>
  <c r="E60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4" i="1" l="1"/>
  <c r="I79" i="1"/>
  <c r="G127" i="1"/>
  <c r="I101" i="1"/>
  <c r="G125" i="1"/>
  <c r="G124" i="1"/>
  <c r="G117" i="1"/>
  <c r="G101" i="1"/>
  <c r="G104" i="1"/>
  <c r="I49" i="1"/>
  <c r="I72" i="1"/>
  <c r="I102" i="1"/>
  <c r="G122" i="1"/>
  <c r="I76" i="1"/>
  <c r="G49" i="1"/>
  <c r="I113" i="1"/>
  <c r="I134" i="1"/>
  <c r="I110" i="1"/>
  <c r="I71" i="1"/>
  <c r="I88" i="1"/>
  <c r="G142" i="1"/>
  <c r="I93" i="1"/>
  <c r="G141" i="1"/>
  <c r="G102" i="1"/>
  <c r="G135" i="1"/>
  <c r="I126" i="1"/>
  <c r="G115" i="1"/>
  <c r="I66" i="1"/>
  <c r="I124" i="1"/>
  <c r="G144" i="1"/>
  <c r="I92" i="1"/>
  <c r="G77" i="1"/>
  <c r="I127" i="1"/>
  <c r="I78" i="1"/>
  <c r="I121" i="1"/>
  <c r="G73" i="1"/>
  <c r="G113" i="1"/>
  <c r="G107" i="1"/>
  <c r="I132" i="1"/>
  <c r="G103" i="1"/>
  <c r="I99" i="1"/>
  <c r="I95" i="1"/>
  <c r="I91" i="1"/>
  <c r="I77" i="1"/>
  <c r="G143" i="1"/>
  <c r="G129" i="1"/>
  <c r="G109" i="1"/>
  <c r="G136" i="1"/>
  <c r="G132" i="1"/>
  <c r="I143" i="1"/>
  <c r="G145" i="1"/>
  <c r="G126" i="1"/>
  <c r="G130" i="1"/>
  <c r="I137" i="1"/>
  <c r="I133" i="1"/>
  <c r="I129" i="1"/>
  <c r="I119" i="1"/>
  <c r="I125" i="1"/>
  <c r="I122" i="1"/>
  <c r="G98" i="1"/>
  <c r="G108" i="1"/>
  <c r="G139" i="1"/>
  <c r="I82" i="1"/>
  <c r="I65" i="1"/>
  <c r="G112" i="1"/>
  <c r="G90" i="1"/>
  <c r="I141" i="1"/>
  <c r="G119" i="1"/>
  <c r="I98" i="1"/>
  <c r="I90" i="1"/>
  <c r="I104" i="1"/>
  <c r="G105" i="1"/>
  <c r="I140" i="1"/>
  <c r="I106" i="1"/>
  <c r="I87" i="1"/>
  <c r="I109" i="1"/>
  <c r="I145" i="1"/>
  <c r="I123" i="1"/>
  <c r="I120" i="1"/>
  <c r="G137" i="1"/>
  <c r="G134" i="1"/>
  <c r="G116" i="1"/>
  <c r="G111" i="1"/>
  <c r="G106" i="1"/>
  <c r="I108" i="1"/>
  <c r="G118" i="1"/>
  <c r="I136" i="1"/>
  <c r="I117" i="1"/>
  <c r="I144" i="1"/>
  <c r="G120" i="1"/>
  <c r="I73" i="1"/>
  <c r="G131" i="1"/>
  <c r="G85" i="1"/>
  <c r="G69" i="1"/>
  <c r="G133" i="1"/>
  <c r="G97" i="1"/>
  <c r="G93" i="1"/>
  <c r="G89" i="1"/>
  <c r="G76" i="1"/>
  <c r="I130" i="1"/>
  <c r="G84" i="1"/>
  <c r="G72" i="1"/>
  <c r="I135" i="1"/>
  <c r="G110" i="1"/>
  <c r="G79" i="1"/>
  <c r="I107" i="1"/>
  <c r="G96" i="1"/>
  <c r="G92" i="1"/>
  <c r="G75" i="1"/>
  <c r="I112" i="1"/>
  <c r="G88" i="1"/>
  <c r="G83" i="1"/>
  <c r="G71" i="1"/>
  <c r="G140" i="1"/>
  <c r="G66" i="1"/>
  <c r="I139" i="1"/>
  <c r="I131" i="1"/>
  <c r="I115" i="1"/>
  <c r="I111" i="1"/>
  <c r="I103" i="1"/>
  <c r="G99" i="1"/>
  <c r="G95" i="1"/>
  <c r="G91" i="1"/>
  <c r="G78" i="1"/>
  <c r="G74" i="1"/>
  <c r="I142" i="1"/>
  <c r="G121" i="1"/>
  <c r="G87" i="1"/>
  <c r="G70" i="1"/>
  <c r="G123" i="1"/>
  <c r="I118" i="1"/>
  <c r="I85" i="1"/>
  <c r="G82" i="1"/>
  <c r="I69" i="1"/>
  <c r="G65" i="1"/>
  <c r="I96" i="1"/>
  <c r="G94" i="1"/>
  <c r="I89" i="1"/>
  <c r="I83" i="1"/>
  <c r="G81" i="1"/>
  <c r="I75" i="1"/>
  <c r="I70" i="1"/>
  <c r="G67" i="1"/>
  <c r="I116" i="1"/>
  <c r="I105" i="1"/>
  <c r="I94" i="1"/>
  <c r="I81" i="1"/>
  <c r="I67" i="1"/>
  <c r="G48" i="1"/>
  <c r="G62" i="1"/>
  <c r="I61" i="1"/>
  <c r="I63" i="1"/>
  <c r="I62" i="1"/>
  <c r="G63" i="1"/>
  <c r="G61" i="1"/>
  <c r="I58" i="1"/>
  <c r="G43" i="1"/>
  <c r="I51" i="1"/>
  <c r="G47" i="1"/>
  <c r="I54" i="1"/>
  <c r="I53" i="1"/>
  <c r="G52" i="1"/>
  <c r="G51" i="1"/>
  <c r="G45" i="1"/>
  <c r="I60" i="1"/>
  <c r="G53" i="1"/>
  <c r="I52" i="1"/>
  <c r="G44" i="1"/>
  <c r="G56" i="1"/>
  <c r="I55" i="1"/>
  <c r="G54" i="1"/>
  <c r="G58" i="1"/>
  <c r="G60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<sst xmlns="http://schemas.openxmlformats.org/spreadsheetml/2006/main" count="441" uniqueCount="155">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</sst>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5"/>
  <sheetViews>
    <sheetView tabSelected="1" workbookViewId="0"/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45.1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98</v>
      </c>
      <c r="C2" t="s">
        <v>103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87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5</v>
      </c>
      <c r="C4" t="s">
        <v>88</v>
      </c>
      <c r="D4">
        <v>9</v>
      </c>
      <c r="E4" t="str">
        <f t="shared" si="3"/>
        <v>menu</v>
      </c>
      <c r="F4" t="str">
        <f t="shared" ref="F4:F60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>
      <c r="A5" t="s">
        <v>15</v>
      </c>
      <c r="B5" t="s">
        <v>98</v>
      </c>
      <c r="C5" t="s">
        <v>99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>
      <c r="A6" t="s">
        <v>15</v>
      </c>
      <c r="B6" t="s">
        <v>4</v>
      </c>
      <c r="C6" t="s">
        <v>87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>
      <c r="A7" t="s">
        <v>15</v>
      </c>
      <c r="B7" t="s">
        <v>31</v>
      </c>
      <c r="C7" t="s">
        <v>89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>
      <c r="A8" t="s">
        <v>15</v>
      </c>
      <c r="B8" t="s">
        <v>32</v>
      </c>
      <c r="C8" t="s">
        <v>90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>
      <c r="A9" t="s">
        <v>13</v>
      </c>
      <c r="B9" t="s">
        <v>86</v>
      </c>
      <c r="C9" t="s">
        <v>100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>
      <c r="A10" t="s">
        <v>13</v>
      </c>
      <c r="B10" t="s">
        <v>33</v>
      </c>
      <c r="C10" t="s">
        <v>87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>
      <c r="A11" t="s">
        <v>13</v>
      </c>
      <c r="B11" t="s">
        <v>34</v>
      </c>
      <c r="C11" t="s">
        <v>91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>
      <c r="A12" t="s">
        <v>13</v>
      </c>
      <c r="B12" t="s">
        <v>35</v>
      </c>
      <c r="C12" t="s">
        <v>90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>
      <c r="A13" t="s">
        <v>14</v>
      </c>
      <c r="B13" t="s">
        <v>86</v>
      </c>
      <c r="C13" t="s">
        <v>101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>
      <c r="A14" t="s">
        <v>14</v>
      </c>
      <c r="B14" t="s">
        <v>33</v>
      </c>
      <c r="C14" t="s">
        <v>87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>
      <c r="A15" t="s">
        <v>14</v>
      </c>
      <c r="B15" t="s">
        <v>34</v>
      </c>
      <c r="C15" t="s">
        <v>91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>
      <c r="A16" t="s">
        <v>14</v>
      </c>
      <c r="B16" t="s">
        <v>35</v>
      </c>
      <c r="C16" t="s">
        <v>90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>
      <c r="A17" t="s">
        <v>10</v>
      </c>
      <c r="B17" t="s">
        <v>86</v>
      </c>
      <c r="C17" t="s">
        <v>104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>
      <c r="A18" t="s">
        <v>10</v>
      </c>
      <c r="B18" t="s">
        <v>33</v>
      </c>
      <c r="C18" t="s">
        <v>87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>
      <c r="A19" t="s">
        <v>10</v>
      </c>
      <c r="B19" t="s">
        <v>34</v>
      </c>
      <c r="C19" t="s">
        <v>91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>
      <c r="A20" t="s">
        <v>10</v>
      </c>
      <c r="B20" t="s">
        <v>35</v>
      </c>
      <c r="C20" t="s">
        <v>90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>
      <c r="A21" t="s">
        <v>11</v>
      </c>
      <c r="B21" t="s">
        <v>86</v>
      </c>
      <c r="C21" t="s">
        <v>105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>
      <c r="A22" t="s">
        <v>11</v>
      </c>
      <c r="B22" t="s">
        <v>33</v>
      </c>
      <c r="C22" t="s">
        <v>87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>
      <c r="A23" t="s">
        <v>11</v>
      </c>
      <c r="B23" t="s">
        <v>34</v>
      </c>
      <c r="C23" t="s">
        <v>91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>
      <c r="A24" t="s">
        <v>11</v>
      </c>
      <c r="B24" t="s">
        <v>35</v>
      </c>
      <c r="C24" t="s">
        <v>90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>
      <c r="A25" t="s">
        <v>12</v>
      </c>
      <c r="B25" t="s">
        <v>86</v>
      </c>
      <c r="C25" t="s">
        <v>106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>
      <c r="A26" t="s">
        <v>12</v>
      </c>
      <c r="B26" t="s">
        <v>33</v>
      </c>
      <c r="C26" t="s">
        <v>87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>
      <c r="A27" t="s">
        <v>12</v>
      </c>
      <c r="B27" t="s">
        <v>34</v>
      </c>
      <c r="C27" t="s">
        <v>91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>
      <c r="A28" t="s">
        <v>12</v>
      </c>
      <c r="B28" t="s">
        <v>35</v>
      </c>
      <c r="C28" t="s">
        <v>90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>
      <c r="A29" t="s">
        <v>9</v>
      </c>
      <c r="B29" t="s">
        <v>86</v>
      </c>
      <c r="C29" t="s">
        <v>107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>
      <c r="A30" t="s">
        <v>9</v>
      </c>
      <c r="B30" t="s">
        <v>33</v>
      </c>
      <c r="C30" t="s">
        <v>87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>
      <c r="A31" t="s">
        <v>9</v>
      </c>
      <c r="B31" t="s">
        <v>34</v>
      </c>
      <c r="C31" t="s">
        <v>91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>
      <c r="A32" t="s">
        <v>9</v>
      </c>
      <c r="B32" t="s">
        <v>35</v>
      </c>
      <c r="C32" t="s">
        <v>90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>
      <c r="A33" t="s">
        <v>16</v>
      </c>
      <c r="B33" t="s">
        <v>86</v>
      </c>
      <c r="C33" t="s">
        <v>108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>
      <c r="A34" t="s">
        <v>16</v>
      </c>
      <c r="B34" t="s">
        <v>33</v>
      </c>
      <c r="C34" t="s">
        <v>87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>
      <c r="A35" t="s">
        <v>16</v>
      </c>
      <c r="B35" t="s">
        <v>34</v>
      </c>
      <c r="C35" t="s">
        <v>91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>
      <c r="A36" t="s">
        <v>16</v>
      </c>
      <c r="B36" t="s">
        <v>35</v>
      </c>
      <c r="C36" t="s">
        <v>90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>
      <c r="A37" t="s">
        <v>16</v>
      </c>
      <c r="B37" t="s">
        <v>36</v>
      </c>
      <c r="C37" t="s">
        <v>92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>
      <c r="A38" t="s">
        <v>16</v>
      </c>
      <c r="B38" t="s">
        <v>37</v>
      </c>
      <c r="C38" t="s">
        <v>93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>
      <c r="A39" t="s">
        <v>16</v>
      </c>
      <c r="B39" t="s">
        <v>38</v>
      </c>
      <c r="C39" t="s">
        <v>94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>
      <c r="A40" t="s">
        <v>16</v>
      </c>
      <c r="B40" t="s">
        <v>39</v>
      </c>
      <c r="C40" t="s">
        <v>95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>
      <c r="A41" t="s">
        <v>17</v>
      </c>
      <c r="B41" t="s">
        <v>86</v>
      </c>
      <c r="C41" t="s">
        <v>109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>
      <c r="A42" t="s">
        <v>17</v>
      </c>
      <c r="B42" t="s">
        <v>33</v>
      </c>
      <c r="C42" t="s">
        <v>87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>
      <c r="A43" t="s">
        <v>17</v>
      </c>
      <c r="B43" t="s">
        <v>34</v>
      </c>
      <c r="C43" t="s">
        <v>91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>
      <c r="A44" t="s">
        <v>17</v>
      </c>
      <c r="B44" t="s">
        <v>35</v>
      </c>
      <c r="C44" t="s">
        <v>90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>
      <c r="A45" t="s">
        <v>17</v>
      </c>
      <c r="B45" t="s">
        <v>36</v>
      </c>
      <c r="C45" t="s">
        <v>92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>
      <c r="A46" t="s">
        <v>17</v>
      </c>
      <c r="B46" t="s">
        <v>37</v>
      </c>
      <c r="C46" t="s">
        <v>93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>
      <c r="A47" t="s">
        <v>17</v>
      </c>
      <c r="B47" t="s">
        <v>38</v>
      </c>
      <c r="C47" t="s">
        <v>94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>
      <c r="A48" t="s">
        <v>17</v>
      </c>
      <c r="B48" t="s">
        <v>39</v>
      </c>
      <c r="C48" t="s">
        <v>95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>
      <c r="A49" t="s">
        <v>7</v>
      </c>
      <c r="B49" t="s">
        <v>86</v>
      </c>
      <c r="C49" t="s">
        <v>97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>
      <c r="A50" t="s">
        <v>7</v>
      </c>
      <c r="B50" t="s">
        <v>33</v>
      </c>
      <c r="C50" t="s">
        <v>87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>
      <c r="A51" t="s">
        <v>7</v>
      </c>
      <c r="B51" t="s">
        <v>40</v>
      </c>
      <c r="C51" t="s">
        <v>110</v>
      </c>
      <c r="D51">
        <v>5</v>
      </c>
      <c r="E51" t="str">
        <f t="shared" ref="E51:E60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7" si="63">_xlfn.CONCAT(A51, "-", F51, "-", E51, ".png")</f>
        <v>Main-KEY_05-start_recording_mx0.png</v>
      </c>
      <c r="H51" t="str">
        <f t="shared" ref="H51:H57" si="64">MID(B51, FIND("InputEventMap", B51), LEN(B51))</f>
        <v>InputEventMap.KEY_1</v>
      </c>
      <c r="I51" t="str">
        <f t="shared" ref="I51:I57" si="65">_xlfn.CONCAT("StreamdeckInput.", F51, ": ", H51, ",")</f>
        <v>StreamdeckInput.KEY_05: InputEventMap.KEY_1,</v>
      </c>
    </row>
    <row r="52" spans="1:9">
      <c r="A52" t="s">
        <v>7</v>
      </c>
      <c r="B52" t="s">
        <v>41</v>
      </c>
      <c r="C52" t="s">
        <v>110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>
      <c r="A53" t="s">
        <v>7</v>
      </c>
      <c r="B53" t="s">
        <v>42</v>
      </c>
      <c r="C53" t="s">
        <v>110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>
      <c r="A54" t="s">
        <v>7</v>
      </c>
      <c r="B54" t="s">
        <v>43</v>
      </c>
      <c r="C54" t="s">
        <v>111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>
      <c r="A55" t="s">
        <v>7</v>
      </c>
      <c r="B55" t="s">
        <v>5</v>
      </c>
      <c r="C55" t="s">
        <v>88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>
      <c r="A56" t="s">
        <v>7</v>
      </c>
      <c r="B56" t="s">
        <v>44</v>
      </c>
      <c r="C56" t="s">
        <v>112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>
      <c r="A57" t="s">
        <v>7</v>
      </c>
      <c r="B57" t="s">
        <v>154</v>
      </c>
      <c r="C57" t="s">
        <v>95</v>
      </c>
      <c r="D57">
        <v>12</v>
      </c>
      <c r="E57" t="str">
        <f t="shared" ref="E57" si="66">LOWER(
  TRIM(
    SUBSTITUTE(
      LEFT(B57, FIND(" = InputEventMap", B57) - 1),
      CHAR(160),
      " "
    )
  )
)</f>
        <v>delete_last_take</v>
      </c>
      <c r="F57" t="str">
        <f t="shared" ref="F57" si="67">"KEY_" &amp; CHOOSE(
    D57+1,
    "00","01","02","03","04","05","06","07","08","09","0A","0B","0C","0D","0E"
)</f>
        <v>KEY_0C</v>
      </c>
      <c r="G57" t="str">
        <f t="shared" si="63"/>
        <v>Main-KEY_0C-delete_last_take.png</v>
      </c>
      <c r="H57" t="str">
        <f t="shared" si="64"/>
        <v>InputEventMap.KEY_7</v>
      </c>
      <c r="I57" t="str">
        <f t="shared" si="65"/>
        <v>StreamdeckInput.KEY_0C: InputEventMap.KEY_7,</v>
      </c>
    </row>
    <row r="58" spans="1:9">
      <c r="A58" t="s">
        <v>7</v>
      </c>
      <c r="B58" t="s">
        <v>45</v>
      </c>
      <c r="C58" t="s">
        <v>102</v>
      </c>
      <c r="D58">
        <v>14</v>
      </c>
      <c r="E58" t="str">
        <f t="shared" si="62"/>
        <v>stop_system</v>
      </c>
      <c r="F58" t="str">
        <f t="shared" si="6"/>
        <v>KEY_0E</v>
      </c>
      <c r="G58" t="str">
        <f t="shared" ref="G58:G60" si="68">_xlfn.CONCAT(A58, "-", F58, "-", E58, ".png")</f>
        <v>Main-KEY_0E-stop_system.png</v>
      </c>
      <c r="H58" t="str">
        <f t="shared" ref="H58:H60" si="69">MID(B58, FIND("InputEventMap", B58), LEN(B58))</f>
        <v>InputEventMap.KEY_9</v>
      </c>
      <c r="I58" t="str">
        <f t="shared" ref="I58:I60" si="70">_xlfn.CONCAT("StreamdeckInput.", F58, ": ", H58, ",")</f>
        <v>StreamdeckInput.KEY_0E: InputEventMap.KEY_9,</v>
      </c>
    </row>
    <row r="59" spans="1:9">
      <c r="A59" t="s">
        <v>18</v>
      </c>
      <c r="B59" t="s">
        <v>98</v>
      </c>
      <c r="C59" t="s">
        <v>113</v>
      </c>
      <c r="D59">
        <v>0</v>
      </c>
      <c r="E59" t="str">
        <f t="shared" ref="E59" si="71">LOWER(
  TRIM(
    SUBSTITUTE(
      LEFT(B59, FIND(" = InputEventMap", B59) - 1),
      CHAR(160),
      " "
    )
  )
)</f>
        <v>screen</v>
      </c>
      <c r="F59" t="str">
        <f t="shared" ref="F59" si="72">"KEY_" &amp; CHOOSE(
    D59+1,
    "00","01","02","03","04","05","06","07","08","09","0A","0B","0C","0D","0E"
)</f>
        <v>KEY_00</v>
      </c>
      <c r="G59" t="str">
        <f t="shared" ref="G59" si="73">_xlfn.CONCAT(A59, "-", F59, "-", E59, ".png")</f>
        <v>OnRecord-KEY_00-screen.png</v>
      </c>
      <c r="H59" t="str">
        <f t="shared" ref="H59" si="74">MID(B59, FIND("InputEventMap", B59), LEN(B59))</f>
        <v>InputEventMap.KEY_ASTERISK</v>
      </c>
      <c r="I59" t="str">
        <f t="shared" ref="I59" si="75">_xlfn.CONCAT("StreamdeckInput.", F59, ": ", H59, ",")</f>
        <v>StreamdeckInput.KEY_00: InputEventMap.KEY_ASTERISK,</v>
      </c>
    </row>
    <row r="60" spans="1:9">
      <c r="A60" t="s">
        <v>18</v>
      </c>
      <c r="B60" t="s">
        <v>4</v>
      </c>
      <c r="C60" t="s">
        <v>87</v>
      </c>
      <c r="D60">
        <v>4</v>
      </c>
      <c r="E60" t="str">
        <f t="shared" si="62"/>
        <v>help</v>
      </c>
      <c r="F60" t="str">
        <f t="shared" si="6"/>
        <v>KEY_04</v>
      </c>
      <c r="G60" t="str">
        <f t="shared" si="68"/>
        <v>OnRecord-KEY_04-help.png</v>
      </c>
      <c r="H60" t="str">
        <f t="shared" si="69"/>
        <v>InputEventMap.KEY_ASTERISK</v>
      </c>
      <c r="I60" t="str">
        <f t="shared" si="70"/>
        <v>StreamdeckInput.KEY_04: InputEventMap.KEY_ASTERISK,</v>
      </c>
    </row>
    <row r="61" spans="1:9">
      <c r="A61" t="s">
        <v>18</v>
      </c>
      <c r="B61" t="s">
        <v>46</v>
      </c>
      <c r="C61" t="s">
        <v>114</v>
      </c>
      <c r="D61">
        <v>6</v>
      </c>
      <c r="E61" t="str">
        <f t="shared" ref="E61:E64" si="76">LOWER(
  TRIM(
    SUBSTITUTE(
      LEFT(B61, FIND(" = InputEventMap", B61) - 1),
      CHAR(160),
      " "
    )
  )
)</f>
        <v>stop_recording</v>
      </c>
      <c r="F61" t="str">
        <f t="shared" ref="F61:F64" si="77">"KEY_" &amp; CHOOSE(
    D61+1,
    "00","01","02","03","04","05","06","07","08","09","0A","0B","0C","0D","0E"
)</f>
        <v>KEY_06</v>
      </c>
      <c r="G61" t="str">
        <f t="shared" ref="G61:G64" si="78">_xlfn.CONCAT(A61, "-", F61, "-", E61, ".png")</f>
        <v>OnRecord-KEY_06-stop_recording.png</v>
      </c>
      <c r="H61" t="str">
        <f t="shared" ref="H61:H64" si="79">MID(B61, FIND("InputEventMap", B61), LEN(B61))</f>
        <v>InputEventMap.KEY_1</v>
      </c>
      <c r="I61" t="str">
        <f t="shared" ref="I61:I64" si="80">_xlfn.CONCAT("StreamdeckInput.", F61, ": ", H61, ",")</f>
        <v>StreamdeckInput.KEY_06: InputEventMap.KEY_1,</v>
      </c>
    </row>
    <row r="62" spans="1:9">
      <c r="A62" t="s">
        <v>18</v>
      </c>
      <c r="B62" t="s">
        <v>47</v>
      </c>
      <c r="C62" t="s">
        <v>115</v>
      </c>
      <c r="D62">
        <v>5</v>
      </c>
      <c r="E62" t="str">
        <f t="shared" si="76"/>
        <v>set_cue</v>
      </c>
      <c r="F62" t="str">
        <f t="shared" si="77"/>
        <v>KEY_05</v>
      </c>
      <c r="G62" t="str">
        <f t="shared" si="78"/>
        <v>OnRecord-KEY_05-set_cue.png</v>
      </c>
      <c r="H62" t="str">
        <f t="shared" si="79"/>
        <v>InputEventMap.KEY_2</v>
      </c>
      <c r="I62" t="str">
        <f t="shared" si="80"/>
        <v>StreamdeckInput.KEY_05: InputEventMap.KEY_2,</v>
      </c>
    </row>
    <row r="63" spans="1:9">
      <c r="A63" t="s">
        <v>18</v>
      </c>
      <c r="B63" t="s">
        <v>48</v>
      </c>
      <c r="C63" t="s">
        <v>116</v>
      </c>
      <c r="D63">
        <v>10</v>
      </c>
      <c r="E63" t="str">
        <f t="shared" si="76"/>
        <v>show_status</v>
      </c>
      <c r="F63" t="str">
        <f t="shared" si="77"/>
        <v>KEY_0A</v>
      </c>
      <c r="G63" t="str">
        <f t="shared" si="78"/>
        <v>OnRecord-KEY_0A-show_status.png</v>
      </c>
      <c r="H63" t="str">
        <f t="shared" si="79"/>
        <v>InputEventMap.KEY_4</v>
      </c>
      <c r="I63" t="str">
        <f t="shared" si="80"/>
        <v>StreamdeckInput.KEY_0A: InputEventMap.KEY_4,</v>
      </c>
    </row>
    <row r="64" spans="1:9">
      <c r="A64" t="s">
        <v>29</v>
      </c>
      <c r="B64" t="s">
        <v>98</v>
      </c>
      <c r="C64" t="s">
        <v>117</v>
      </c>
      <c r="D64">
        <v>0</v>
      </c>
      <c r="E64" t="str">
        <f t="shared" si="76"/>
        <v>screen</v>
      </c>
      <c r="F64" t="str">
        <f t="shared" si="77"/>
        <v>KEY_00</v>
      </c>
      <c r="G64" t="str">
        <f t="shared" si="78"/>
        <v>PlaybackPaused-KEY_00-screen.png</v>
      </c>
      <c r="H64" t="str">
        <f t="shared" si="79"/>
        <v>InputEventMap.KEY_ASTERISK</v>
      </c>
      <c r="I64" t="str">
        <f t="shared" si="80"/>
        <v>StreamdeckInput.KEY_00: InputEventMap.KEY_ASTERISK,</v>
      </c>
    </row>
    <row r="65" spans="1:9">
      <c r="A65" t="s">
        <v>29</v>
      </c>
      <c r="B65" t="s">
        <v>4</v>
      </c>
      <c r="C65" t="s">
        <v>87</v>
      </c>
      <c r="D65">
        <v>4</v>
      </c>
      <c r="E65" t="str">
        <f t="shared" ref="E65:E129" si="81">LOWER(
  TRIM(
    SUBSTITUTE(
      LEFT(B65, FIND(" = InputEventMap", B65) - 1),
      CHAR(160),
      " "
    )
  )
)</f>
        <v>help</v>
      </c>
      <c r="F65" t="str">
        <f t="shared" ref="F65:F129" si="82">"KEY_" &amp; CHOOSE(
    D65+1,
    "00","01","02","03","04","05","06","07","08","09","0A","0B","0C","0D","0E"
)</f>
        <v>KEY_04</v>
      </c>
      <c r="G65" t="str">
        <f t="shared" ref="G65:G129" si="83">_xlfn.CONCAT(A65, "-", F65, "-", E65, ".png")</f>
        <v>PlaybackPaused-KEY_04-help.png</v>
      </c>
      <c r="H65" t="str">
        <f t="shared" ref="H65:H129" si="84">MID(B65, FIND("InputEventMap", B65), LEN(B65))</f>
        <v>InputEventMap.KEY_ASTERISK</v>
      </c>
      <c r="I65" t="str">
        <f t="shared" ref="I65:I129" si="85">_xlfn.CONCAT("StreamdeckInput.", F65, ": ", H65, ",")</f>
        <v>StreamdeckInput.KEY_04: InputEventMap.KEY_ASTERISK,</v>
      </c>
    </row>
    <row r="66" spans="1:9">
      <c r="A66" t="s">
        <v>29</v>
      </c>
      <c r="B66" t="s">
        <v>49</v>
      </c>
      <c r="C66" t="s">
        <v>111</v>
      </c>
      <c r="D66">
        <v>7</v>
      </c>
      <c r="E66" t="str">
        <f t="shared" si="81"/>
        <v>pause_resume</v>
      </c>
      <c r="F66" t="str">
        <f t="shared" si="82"/>
        <v>KEY_07</v>
      </c>
      <c r="G66" t="str">
        <f t="shared" si="83"/>
        <v>PlaybackPaused-KEY_07-pause_resume.png</v>
      </c>
      <c r="H66" t="str">
        <f t="shared" si="84"/>
        <v>InputEventMap.KEY_0</v>
      </c>
      <c r="I66" t="str">
        <f t="shared" si="85"/>
        <v>StreamdeckInput.KEY_07: InputEventMap.KEY_0,</v>
      </c>
    </row>
    <row r="67" spans="1:9">
      <c r="A67" t="s">
        <v>29</v>
      </c>
      <c r="B67" t="s">
        <v>5</v>
      </c>
      <c r="C67" t="s">
        <v>96</v>
      </c>
      <c r="D67">
        <v>9</v>
      </c>
      <c r="E67" t="str">
        <f t="shared" si="81"/>
        <v>menu</v>
      </c>
      <c r="F67" t="str">
        <f t="shared" si="82"/>
        <v>KEY_09</v>
      </c>
      <c r="G67" t="str">
        <f t="shared" si="83"/>
        <v>PlaybackPaused-KEY_09-menu.png</v>
      </c>
      <c r="H67" t="str">
        <f t="shared" si="84"/>
        <v>InputEventMap.KEY_5</v>
      </c>
      <c r="I67" t="str">
        <f t="shared" si="85"/>
        <v>StreamdeckInput.KEY_09: InputEventMap.KEY_5,</v>
      </c>
    </row>
    <row r="68" spans="1:9">
      <c r="A68" t="s">
        <v>28</v>
      </c>
      <c r="B68" t="s">
        <v>98</v>
      </c>
      <c r="C68" t="s">
        <v>117</v>
      </c>
      <c r="D68">
        <v>0</v>
      </c>
      <c r="E68" t="str">
        <f t="shared" ref="E68" si="86">LOWER(
  TRIM(
    SUBSTITUTE(
      LEFT(B68, FIND(" = InputEventMap", B68) - 1),
      CHAR(160),
      " "
    )
  )
)</f>
        <v>screen</v>
      </c>
      <c r="F68" t="str">
        <f t="shared" ref="F68" si="87">"KEY_" &amp; CHOOSE(
    D68+1,
    "00","01","02","03","04","05","06","07","08","09","0A","0B","0C","0D","0E"
)</f>
        <v>KEY_00</v>
      </c>
      <c r="G68" t="str">
        <f t="shared" ref="G68" si="88">_xlfn.CONCAT(A68, "-", F68, "-", E68, ".png")</f>
        <v>Playback-KEY_00-screen.png</v>
      </c>
      <c r="H68" t="str">
        <f t="shared" ref="H68" si="89">MID(B68, FIND("InputEventMap", B68), LEN(B68))</f>
        <v>InputEventMap.KEY_ASTERISK</v>
      </c>
      <c r="I68" t="str">
        <f t="shared" ref="I68" si="90">_xlfn.CONCAT("StreamdeckInput.", F68, ": ", H68, ",")</f>
        <v>StreamdeckInput.KEY_00: InputEventMap.KEY_ASTERISK,</v>
      </c>
    </row>
    <row r="69" spans="1:9">
      <c r="A69" t="s">
        <v>28</v>
      </c>
      <c r="B69" t="s">
        <v>4</v>
      </c>
      <c r="C69" t="s">
        <v>87</v>
      </c>
      <c r="D69">
        <v>4</v>
      </c>
      <c r="E69" t="str">
        <f t="shared" si="81"/>
        <v>help</v>
      </c>
      <c r="F69" t="str">
        <f t="shared" si="82"/>
        <v>KEY_04</v>
      </c>
      <c r="G69" t="str">
        <f t="shared" si="83"/>
        <v>Playback-KEY_04-help.png</v>
      </c>
      <c r="H69" t="str">
        <f t="shared" si="84"/>
        <v>InputEventMap.KEY_ASTERISK</v>
      </c>
      <c r="I69" t="str">
        <f t="shared" si="85"/>
        <v>StreamdeckInput.KEY_04: InputEventMap.KEY_ASTERISK,</v>
      </c>
    </row>
    <row r="70" spans="1:9">
      <c r="A70" t="s">
        <v>28</v>
      </c>
      <c r="B70" t="s">
        <v>49</v>
      </c>
      <c r="C70" t="s">
        <v>118</v>
      </c>
      <c r="D70">
        <v>7</v>
      </c>
      <c r="E70" t="str">
        <f t="shared" si="81"/>
        <v>pause_resume</v>
      </c>
      <c r="F70" t="str">
        <f t="shared" si="82"/>
        <v>KEY_07</v>
      </c>
      <c r="G70" t="str">
        <f t="shared" si="83"/>
        <v>Playback-KEY_07-pause_resume.png</v>
      </c>
      <c r="H70" t="str">
        <f t="shared" si="84"/>
        <v>InputEventMap.KEY_0</v>
      </c>
      <c r="I70" t="str">
        <f t="shared" si="85"/>
        <v>StreamdeckInput.KEY_07: InputEventMap.KEY_0,</v>
      </c>
    </row>
    <row r="71" spans="1:9">
      <c r="A71" t="s">
        <v>28</v>
      </c>
      <c r="B71" t="s">
        <v>50</v>
      </c>
      <c r="C71" t="s">
        <v>119</v>
      </c>
      <c r="D71">
        <v>11</v>
      </c>
      <c r="E71" t="str">
        <f t="shared" si="81"/>
        <v>jump_clip_end</v>
      </c>
      <c r="F71" t="str">
        <f t="shared" si="82"/>
        <v>KEY_0B</v>
      </c>
      <c r="G71" t="str">
        <f t="shared" si="83"/>
        <v>Playback-KEY_0B-jump_clip_end.png</v>
      </c>
      <c r="H71" t="str">
        <f t="shared" si="84"/>
        <v>InputEventMap.KEY_1</v>
      </c>
      <c r="I71" t="str">
        <f t="shared" si="85"/>
        <v>StreamdeckInput.KEY_0B: InputEventMap.KEY_1,</v>
      </c>
    </row>
    <row r="72" spans="1:9">
      <c r="A72" t="s">
        <v>28</v>
      </c>
      <c r="B72" t="s">
        <v>51</v>
      </c>
      <c r="C72" t="s">
        <v>120</v>
      </c>
      <c r="D72">
        <v>12</v>
      </c>
      <c r="E72" t="str">
        <f t="shared" si="81"/>
        <v>seek_next</v>
      </c>
      <c r="F72" t="str">
        <f t="shared" si="82"/>
        <v>KEY_0C</v>
      </c>
      <c r="G72" t="str">
        <f t="shared" si="83"/>
        <v>Playback-KEY_0C-seek_next.png</v>
      </c>
      <c r="H72" t="str">
        <f t="shared" si="84"/>
        <v>InputEventMap.KEY_2</v>
      </c>
      <c r="I72" t="str">
        <f t="shared" si="85"/>
        <v>StreamdeckInput.KEY_0C: InputEventMap.KEY_2,</v>
      </c>
    </row>
    <row r="73" spans="1:9">
      <c r="A73" t="s">
        <v>28</v>
      </c>
      <c r="B73" t="s">
        <v>52</v>
      </c>
      <c r="C73" t="s">
        <v>121</v>
      </c>
      <c r="D73">
        <v>13</v>
      </c>
      <c r="E73" t="str">
        <f t="shared" si="81"/>
        <v>jump_cue_next</v>
      </c>
      <c r="F73" t="str">
        <f t="shared" si="82"/>
        <v>KEY_0D</v>
      </c>
      <c r="G73" t="str">
        <f t="shared" si="83"/>
        <v>Playback-KEY_0D-jump_cue_next.png</v>
      </c>
      <c r="H73" t="str">
        <f t="shared" si="84"/>
        <v>InputEventMap.KEY_3</v>
      </c>
      <c r="I73" t="str">
        <f t="shared" si="85"/>
        <v>StreamdeckInput.KEY_0D: InputEventMap.KEY_3,</v>
      </c>
    </row>
    <row r="74" spans="1:9">
      <c r="A74" t="s">
        <v>28</v>
      </c>
      <c r="B74" t="s">
        <v>53</v>
      </c>
      <c r="C74" t="s">
        <v>123</v>
      </c>
      <c r="D74">
        <v>6</v>
      </c>
      <c r="E74" t="str">
        <f t="shared" si="81"/>
        <v>jump_clip_previous</v>
      </c>
      <c r="F74" t="str">
        <f t="shared" si="82"/>
        <v>KEY_06</v>
      </c>
      <c r="G74" t="str">
        <f t="shared" si="83"/>
        <v>Playback-KEY_06-jump_clip_previous.png</v>
      </c>
      <c r="H74" t="str">
        <f t="shared" si="84"/>
        <v>InputEventMap.KEY_4</v>
      </c>
      <c r="I74" t="str">
        <f t="shared" si="85"/>
        <v>StreamdeckInput.KEY_06: InputEventMap.KEY_4,</v>
      </c>
    </row>
    <row r="75" spans="1:9">
      <c r="A75" t="s">
        <v>28</v>
      </c>
      <c r="B75" t="s">
        <v>5</v>
      </c>
      <c r="C75" t="s">
        <v>88</v>
      </c>
      <c r="D75">
        <v>9</v>
      </c>
      <c r="E75" t="str">
        <f t="shared" si="81"/>
        <v>menu</v>
      </c>
      <c r="F75" t="str">
        <f t="shared" si="82"/>
        <v>KEY_09</v>
      </c>
      <c r="G75" t="str">
        <f t="shared" si="83"/>
        <v>Playback-KEY_09-menu.png</v>
      </c>
      <c r="H75" t="str">
        <f t="shared" si="84"/>
        <v>InputEventMap.KEY_5</v>
      </c>
      <c r="I75" t="str">
        <f t="shared" si="85"/>
        <v>StreamdeckInput.KEY_09: InputEventMap.KEY_5,</v>
      </c>
    </row>
    <row r="76" spans="1:9">
      <c r="A76" t="s">
        <v>28</v>
      </c>
      <c r="B76" t="s">
        <v>54</v>
      </c>
      <c r="C76" t="s">
        <v>124</v>
      </c>
      <c r="D76">
        <v>8</v>
      </c>
      <c r="E76" t="str">
        <f t="shared" si="81"/>
        <v>jump_clip_next</v>
      </c>
      <c r="F76" t="str">
        <f t="shared" si="82"/>
        <v>KEY_08</v>
      </c>
      <c r="G76" t="str">
        <f t="shared" si="83"/>
        <v>Playback-KEY_08-jump_clip_next.png</v>
      </c>
      <c r="H76" t="str">
        <f t="shared" si="84"/>
        <v>InputEventMap.KEY_6</v>
      </c>
      <c r="I76" t="str">
        <f t="shared" si="85"/>
        <v>StreamdeckInput.KEY_08: InputEventMap.KEY_6,</v>
      </c>
    </row>
    <row r="77" spans="1:9">
      <c r="A77" t="s">
        <v>28</v>
      </c>
      <c r="B77" t="s">
        <v>55</v>
      </c>
      <c r="C77" t="s">
        <v>125</v>
      </c>
      <c r="D77">
        <v>1</v>
      </c>
      <c r="E77" t="str">
        <f t="shared" si="81"/>
        <v>jump_clip_start</v>
      </c>
      <c r="F77" t="str">
        <f t="shared" si="82"/>
        <v>KEY_01</v>
      </c>
      <c r="G77" t="str">
        <f t="shared" si="83"/>
        <v>Playback-KEY_01-jump_clip_start.png</v>
      </c>
      <c r="H77" t="str">
        <f t="shared" si="84"/>
        <v>InputEventMap.KEY_7</v>
      </c>
      <c r="I77" t="str">
        <f t="shared" si="85"/>
        <v>StreamdeckInput.KEY_01: InputEventMap.KEY_7,</v>
      </c>
    </row>
    <row r="78" spans="1:9">
      <c r="A78" t="s">
        <v>28</v>
      </c>
      <c r="B78" t="s">
        <v>56</v>
      </c>
      <c r="C78" t="s">
        <v>126</v>
      </c>
      <c r="D78">
        <v>2</v>
      </c>
      <c r="E78" t="str">
        <f t="shared" si="81"/>
        <v>seek_previous</v>
      </c>
      <c r="F78" t="str">
        <f t="shared" si="82"/>
        <v>KEY_02</v>
      </c>
      <c r="G78" t="str">
        <f t="shared" si="83"/>
        <v>Playback-KEY_02-seek_previous.png</v>
      </c>
      <c r="H78" t="str">
        <f t="shared" si="84"/>
        <v>InputEventMap.KEY_8</v>
      </c>
      <c r="I78" t="str">
        <f t="shared" si="85"/>
        <v>StreamdeckInput.KEY_02: InputEventMap.KEY_8,</v>
      </c>
    </row>
    <row r="79" spans="1:9">
      <c r="A79" t="s">
        <v>28</v>
      </c>
      <c r="B79" t="s">
        <v>57</v>
      </c>
      <c r="C79" t="s">
        <v>122</v>
      </c>
      <c r="D79">
        <v>3</v>
      </c>
      <c r="E79" t="str">
        <f t="shared" si="81"/>
        <v>jump_cue_previous</v>
      </c>
      <c r="F79" t="str">
        <f t="shared" si="82"/>
        <v>KEY_03</v>
      </c>
      <c r="G79" t="str">
        <f t="shared" si="83"/>
        <v>Playback-KEY_03-jump_cue_previous.png</v>
      </c>
      <c r="H79" t="str">
        <f t="shared" si="84"/>
        <v>InputEventMap.KEY_9</v>
      </c>
      <c r="I79" t="str">
        <f t="shared" si="85"/>
        <v>StreamdeckInput.KEY_03: InputEventMap.KEY_9,</v>
      </c>
    </row>
    <row r="80" spans="1:9">
      <c r="A80" t="s">
        <v>24</v>
      </c>
      <c r="B80" t="s">
        <v>98</v>
      </c>
      <c r="C80" t="s">
        <v>127</v>
      </c>
      <c r="D80">
        <v>0</v>
      </c>
      <c r="E80" t="str">
        <f t="shared" ref="E80" si="91">LOWER(
  TRIM(
    SUBSTITUTE(
      LEFT(B80, FIND(" = InputEventMap", B80) - 1),
      CHAR(160),
      " "
    )
  )
)</f>
        <v>screen</v>
      </c>
      <c r="F80" t="str">
        <f t="shared" ref="F80" si="92">"KEY_" &amp; CHOOSE(
    D80+1,
    "00","01","02","03","04","05","06","07","08","09","0A","0B","0C","0D","0E"
)</f>
        <v>KEY_00</v>
      </c>
      <c r="G80" t="str">
        <f t="shared" ref="G80" si="93">_xlfn.CONCAT(A80, "-", F80, "-", E80, ".png")</f>
        <v>SelectLanguage-KEY_00-screen.png</v>
      </c>
      <c r="H80" t="str">
        <f t="shared" ref="H80" si="94">MID(B80, FIND("InputEventMap", B80), LEN(B80))</f>
        <v>InputEventMap.KEY_ASTERISK</v>
      </c>
      <c r="I80" t="str">
        <f t="shared" ref="I80" si="95">_xlfn.CONCAT("StreamdeckInput.", F80, ": ", H80, ",")</f>
        <v>StreamdeckInput.KEY_00: InputEventMap.KEY_ASTERISK,</v>
      </c>
    </row>
    <row r="81" spans="1:9">
      <c r="A81" t="s">
        <v>24</v>
      </c>
      <c r="B81" t="s">
        <v>4</v>
      </c>
      <c r="C81" t="s">
        <v>87</v>
      </c>
      <c r="D81">
        <v>4</v>
      </c>
      <c r="E81" t="str">
        <f t="shared" si="81"/>
        <v>help</v>
      </c>
      <c r="F81" t="str">
        <f t="shared" si="82"/>
        <v>KEY_04</v>
      </c>
      <c r="G81" t="str">
        <f t="shared" si="83"/>
        <v>SelectLanguage-KEY_04-help.png</v>
      </c>
      <c r="H81" t="str">
        <f t="shared" si="84"/>
        <v>InputEventMap.KEY_ASTERISK</v>
      </c>
      <c r="I81" t="str">
        <f t="shared" si="85"/>
        <v>StreamdeckInput.KEY_04: InputEventMap.KEY_ASTERISK,</v>
      </c>
    </row>
    <row r="82" spans="1:9">
      <c r="A82" t="s">
        <v>24</v>
      </c>
      <c r="B82" t="s">
        <v>58</v>
      </c>
      <c r="C82" t="s">
        <v>128</v>
      </c>
      <c r="D82">
        <v>5</v>
      </c>
      <c r="E82" t="str">
        <f t="shared" si="81"/>
        <v>select_english</v>
      </c>
      <c r="F82" t="str">
        <f t="shared" si="82"/>
        <v>KEY_05</v>
      </c>
      <c r="G82" t="str">
        <f t="shared" si="83"/>
        <v>SelectLanguage-KEY_05-select_english.png</v>
      </c>
      <c r="H82" t="str">
        <f t="shared" si="84"/>
        <v>InputEventMap.KEY_1</v>
      </c>
      <c r="I82" t="str">
        <f t="shared" si="85"/>
        <v>StreamdeckInput.KEY_05: InputEventMap.KEY_1,</v>
      </c>
    </row>
    <row r="83" spans="1:9">
      <c r="A83" t="s">
        <v>24</v>
      </c>
      <c r="B83" t="s">
        <v>59</v>
      </c>
      <c r="C83" t="s">
        <v>129</v>
      </c>
      <c r="D83">
        <v>6</v>
      </c>
      <c r="E83" t="str">
        <f t="shared" si="81"/>
        <v>select_german</v>
      </c>
      <c r="F83" t="str">
        <f t="shared" si="82"/>
        <v>KEY_06</v>
      </c>
      <c r="G83" t="str">
        <f t="shared" si="83"/>
        <v>SelectLanguage-KEY_06-select_german.png</v>
      </c>
      <c r="H83" t="str">
        <f t="shared" si="84"/>
        <v>InputEventMap.KEY_2</v>
      </c>
      <c r="I83" t="str">
        <f t="shared" si="85"/>
        <v>StreamdeckInput.KEY_06: InputEventMap.KEY_2,</v>
      </c>
    </row>
    <row r="84" spans="1:9">
      <c r="A84" t="s">
        <v>24</v>
      </c>
      <c r="B84" t="s">
        <v>60</v>
      </c>
      <c r="C84" t="s">
        <v>130</v>
      </c>
      <c r="D84">
        <v>7</v>
      </c>
      <c r="E84" t="str">
        <f t="shared" si="81"/>
        <v>select_french</v>
      </c>
      <c r="F84" t="str">
        <f t="shared" si="82"/>
        <v>KEY_07</v>
      </c>
      <c r="G84" t="str">
        <f t="shared" si="83"/>
        <v>SelectLanguage-KEY_07-select_french.png</v>
      </c>
      <c r="H84" t="str">
        <f t="shared" si="84"/>
        <v>InputEventMap.KEY_3</v>
      </c>
      <c r="I84" t="str">
        <f t="shared" si="85"/>
        <v>StreamdeckInput.KEY_07: InputEventMap.KEY_3,</v>
      </c>
    </row>
    <row r="85" spans="1:9">
      <c r="A85" t="s">
        <v>24</v>
      </c>
      <c r="B85" t="s">
        <v>61</v>
      </c>
      <c r="C85" t="s">
        <v>131</v>
      </c>
      <c r="D85">
        <v>8</v>
      </c>
      <c r="E85" t="str">
        <f t="shared" si="81"/>
        <v>select_italian</v>
      </c>
      <c r="F85" t="str">
        <f t="shared" si="82"/>
        <v>KEY_08</v>
      </c>
      <c r="G85" t="str">
        <f t="shared" si="83"/>
        <v>SelectLanguage-KEY_08-select_italian.png</v>
      </c>
      <c r="H85" t="str">
        <f t="shared" si="84"/>
        <v>InputEventMap.KEY_4</v>
      </c>
      <c r="I85" t="str">
        <f t="shared" si="85"/>
        <v>StreamdeckInput.KEY_08: InputEventMap.KEY_4,</v>
      </c>
    </row>
    <row r="86" spans="1:9">
      <c r="A86" t="s">
        <v>25</v>
      </c>
      <c r="B86" t="s">
        <v>98</v>
      </c>
      <c r="C86" t="s">
        <v>132</v>
      </c>
      <c r="D86">
        <v>0</v>
      </c>
      <c r="E86" t="str">
        <f t="shared" ref="E86" si="96">LOWER(
  TRIM(
    SUBSTITUTE(
      LEFT(B86, FIND(" = InputEventMap", B86) - 1),
      CHAR(160),
      " "
    )
  )
)</f>
        <v>screen</v>
      </c>
      <c r="F86" t="str">
        <f t="shared" ref="F86" si="97">"KEY_" &amp; CHOOSE(
    D86+1,
    "00","01","02","03","04","05","06","07","08","09","0A","0B","0C","0D","0E"
)</f>
        <v>KEY_00</v>
      </c>
      <c r="G86" t="str">
        <f t="shared" ref="G86" si="98">_xlfn.CONCAT(A86, "-", F86, "-", E86, ".png")</f>
        <v>SetDate-KEY_00-screen.png</v>
      </c>
      <c r="H86" t="str">
        <f t="shared" ref="H86" si="99">MID(B86, FIND("InputEventMap", B86), LEN(B86))</f>
        <v>InputEventMap.KEY_ASTERISK</v>
      </c>
      <c r="I86" t="str">
        <f t="shared" ref="I86" si="100">_xlfn.CONCAT("StreamdeckInput.", F86, ": ", H86, ",")</f>
        <v>StreamdeckInput.KEY_00: InputEventMap.KEY_ASTERISK,</v>
      </c>
    </row>
    <row r="87" spans="1:9">
      <c r="A87" t="s">
        <v>25</v>
      </c>
      <c r="B87" t="s">
        <v>4</v>
      </c>
      <c r="C87" t="s">
        <v>87</v>
      </c>
      <c r="D87">
        <v>4</v>
      </c>
      <c r="E87" t="str">
        <f t="shared" si="81"/>
        <v>help</v>
      </c>
      <c r="F87" t="str">
        <f t="shared" si="82"/>
        <v>KEY_04</v>
      </c>
      <c r="G87" t="str">
        <f t="shared" si="83"/>
        <v>SetDate-KEY_04-help.png</v>
      </c>
      <c r="H87" t="str">
        <f t="shared" si="84"/>
        <v>InputEventMap.KEY_ASTERISK</v>
      </c>
      <c r="I87" t="str">
        <f t="shared" si="85"/>
        <v>StreamdeckInput.KEY_04: InputEventMap.KEY_ASTERISK,</v>
      </c>
    </row>
    <row r="88" spans="1:9">
      <c r="A88" t="s">
        <v>25</v>
      </c>
      <c r="B88" t="s">
        <v>62</v>
      </c>
      <c r="C88" t="s">
        <v>133</v>
      </c>
      <c r="D88">
        <v>10</v>
      </c>
      <c r="E88" t="str">
        <f t="shared" si="81"/>
        <v>digit_0</v>
      </c>
      <c r="F88" t="str">
        <f t="shared" si="82"/>
        <v>KEY_0A</v>
      </c>
      <c r="G88" t="str">
        <f t="shared" si="83"/>
        <v>SetDate-KEY_0A-digit_0.png</v>
      </c>
      <c r="H88" t="str">
        <f t="shared" si="84"/>
        <v>InputEventMap.KEY_0</v>
      </c>
      <c r="I88" t="str">
        <f t="shared" si="85"/>
        <v>StreamdeckInput.KEY_0A: InputEventMap.KEY_0,</v>
      </c>
    </row>
    <row r="89" spans="1:9">
      <c r="A89" t="s">
        <v>25</v>
      </c>
      <c r="B89" t="s">
        <v>63</v>
      </c>
      <c r="C89" t="s">
        <v>134</v>
      </c>
      <c r="D89">
        <v>11</v>
      </c>
      <c r="E89" t="str">
        <f t="shared" si="81"/>
        <v>digit_1</v>
      </c>
      <c r="F89" t="str">
        <f t="shared" si="82"/>
        <v>KEY_0B</v>
      </c>
      <c r="G89" t="str">
        <f t="shared" si="83"/>
        <v>SetDate-KEY_0B-digit_1.png</v>
      </c>
      <c r="H89" t="str">
        <f t="shared" si="84"/>
        <v>InputEventMap.KEY_1</v>
      </c>
      <c r="I89" t="str">
        <f t="shared" si="85"/>
        <v>StreamdeckInput.KEY_0B: InputEventMap.KEY_1,</v>
      </c>
    </row>
    <row r="90" spans="1:9">
      <c r="A90" t="s">
        <v>25</v>
      </c>
      <c r="B90" t="s">
        <v>64</v>
      </c>
      <c r="C90" t="s">
        <v>135</v>
      </c>
      <c r="D90">
        <v>12</v>
      </c>
      <c r="E90" t="str">
        <f t="shared" si="81"/>
        <v>digit_2</v>
      </c>
      <c r="F90" t="str">
        <f t="shared" si="82"/>
        <v>KEY_0C</v>
      </c>
      <c r="G90" t="str">
        <f t="shared" si="83"/>
        <v>SetDate-KEY_0C-digit_2.png</v>
      </c>
      <c r="H90" t="str">
        <f t="shared" si="84"/>
        <v>InputEventMap.KEY_2</v>
      </c>
      <c r="I90" t="str">
        <f t="shared" si="85"/>
        <v>StreamdeckInput.KEY_0C: InputEventMap.KEY_2,</v>
      </c>
    </row>
    <row r="91" spans="1:9">
      <c r="A91" t="s">
        <v>25</v>
      </c>
      <c r="B91" t="s">
        <v>65</v>
      </c>
      <c r="C91" t="s">
        <v>136</v>
      </c>
      <c r="D91">
        <v>13</v>
      </c>
      <c r="E91" t="str">
        <f t="shared" si="81"/>
        <v>digit_3</v>
      </c>
      <c r="F91" t="str">
        <f t="shared" si="82"/>
        <v>KEY_0D</v>
      </c>
      <c r="G91" t="str">
        <f t="shared" si="83"/>
        <v>SetDate-KEY_0D-digit_3.png</v>
      </c>
      <c r="H91" t="str">
        <f t="shared" si="84"/>
        <v>InputEventMap.KEY_3</v>
      </c>
      <c r="I91" t="str">
        <f t="shared" si="85"/>
        <v>StreamdeckInput.KEY_0D: InputEventMap.KEY_3,</v>
      </c>
    </row>
    <row r="92" spans="1:9">
      <c r="A92" t="s">
        <v>25</v>
      </c>
      <c r="B92" t="s">
        <v>66</v>
      </c>
      <c r="C92" t="s">
        <v>137</v>
      </c>
      <c r="D92">
        <v>6</v>
      </c>
      <c r="E92" t="str">
        <f t="shared" si="81"/>
        <v>digit_4</v>
      </c>
      <c r="F92" t="str">
        <f t="shared" si="82"/>
        <v>KEY_06</v>
      </c>
      <c r="G92" t="str">
        <f t="shared" si="83"/>
        <v>SetDate-KEY_06-digit_4.png</v>
      </c>
      <c r="H92" t="str">
        <f t="shared" si="84"/>
        <v>InputEventMap.KEY_4</v>
      </c>
      <c r="I92" t="str">
        <f t="shared" si="85"/>
        <v>StreamdeckInput.KEY_06: InputEventMap.KEY_4,</v>
      </c>
    </row>
    <row r="93" spans="1:9">
      <c r="A93" t="s">
        <v>25</v>
      </c>
      <c r="B93" t="s">
        <v>67</v>
      </c>
      <c r="C93" t="s">
        <v>138</v>
      </c>
      <c r="D93">
        <v>7</v>
      </c>
      <c r="E93" t="str">
        <f t="shared" si="81"/>
        <v>digit_5</v>
      </c>
      <c r="F93" t="str">
        <f t="shared" si="82"/>
        <v>KEY_07</v>
      </c>
      <c r="G93" t="str">
        <f t="shared" si="83"/>
        <v>SetDate-KEY_07-digit_5.png</v>
      </c>
      <c r="H93" t="str">
        <f t="shared" si="84"/>
        <v>InputEventMap.KEY_5</v>
      </c>
      <c r="I93" t="str">
        <f t="shared" si="85"/>
        <v>StreamdeckInput.KEY_07: InputEventMap.KEY_5,</v>
      </c>
    </row>
    <row r="94" spans="1:9">
      <c r="A94" t="s">
        <v>25</v>
      </c>
      <c r="B94" t="s">
        <v>68</v>
      </c>
      <c r="C94" t="s">
        <v>139</v>
      </c>
      <c r="D94">
        <v>8</v>
      </c>
      <c r="E94" t="str">
        <f t="shared" si="81"/>
        <v>digit_6</v>
      </c>
      <c r="F94" t="str">
        <f t="shared" si="82"/>
        <v>KEY_08</v>
      </c>
      <c r="G94" t="str">
        <f t="shared" si="83"/>
        <v>SetDate-KEY_08-digit_6.png</v>
      </c>
      <c r="H94" t="str">
        <f t="shared" si="84"/>
        <v>InputEventMap.KEY_6</v>
      </c>
      <c r="I94" t="str">
        <f t="shared" si="85"/>
        <v>StreamdeckInput.KEY_08: InputEventMap.KEY_6,</v>
      </c>
    </row>
    <row r="95" spans="1:9">
      <c r="A95" t="s">
        <v>25</v>
      </c>
      <c r="B95" t="s">
        <v>69</v>
      </c>
      <c r="C95" t="s">
        <v>140</v>
      </c>
      <c r="D95">
        <v>1</v>
      </c>
      <c r="E95" t="str">
        <f t="shared" si="81"/>
        <v>digit_7</v>
      </c>
      <c r="F95" t="str">
        <f t="shared" si="82"/>
        <v>KEY_01</v>
      </c>
      <c r="G95" t="str">
        <f t="shared" si="83"/>
        <v>SetDate-KEY_01-digit_7.png</v>
      </c>
      <c r="H95" t="str">
        <f t="shared" si="84"/>
        <v>InputEventMap.KEY_7</v>
      </c>
      <c r="I95" t="str">
        <f t="shared" si="85"/>
        <v>StreamdeckInput.KEY_01: InputEventMap.KEY_7,</v>
      </c>
    </row>
    <row r="96" spans="1:9">
      <c r="A96" t="s">
        <v>25</v>
      </c>
      <c r="B96" t="s">
        <v>70</v>
      </c>
      <c r="C96" t="s">
        <v>141</v>
      </c>
      <c r="D96">
        <v>2</v>
      </c>
      <c r="E96" t="str">
        <f t="shared" si="81"/>
        <v>digit_8</v>
      </c>
      <c r="F96" t="str">
        <f t="shared" si="82"/>
        <v>KEY_02</v>
      </c>
      <c r="G96" t="str">
        <f t="shared" si="83"/>
        <v>SetDate-KEY_02-digit_8.png</v>
      </c>
      <c r="H96" t="str">
        <f t="shared" si="84"/>
        <v>InputEventMap.KEY_8</v>
      </c>
      <c r="I96" t="str">
        <f t="shared" si="85"/>
        <v>StreamdeckInput.KEY_02: InputEventMap.KEY_8,</v>
      </c>
    </row>
    <row r="97" spans="1:9">
      <c r="A97" t="s">
        <v>25</v>
      </c>
      <c r="B97" t="s">
        <v>71</v>
      </c>
      <c r="C97" t="s">
        <v>142</v>
      </c>
      <c r="D97">
        <v>3</v>
      </c>
      <c r="E97" t="str">
        <f t="shared" si="81"/>
        <v>digit_9</v>
      </c>
      <c r="F97" t="str">
        <f t="shared" si="82"/>
        <v>KEY_03</v>
      </c>
      <c r="G97" t="str">
        <f t="shared" si="83"/>
        <v>SetDate-KEY_03-digit_9.png</v>
      </c>
      <c r="H97" t="str">
        <f t="shared" si="84"/>
        <v>InputEventMap.KEY_9</v>
      </c>
      <c r="I97" t="str">
        <f t="shared" si="85"/>
        <v>StreamdeckInput.KEY_03: InputEventMap.KEY_9,</v>
      </c>
    </row>
    <row r="98" spans="1:9">
      <c r="A98" t="s">
        <v>25</v>
      </c>
      <c r="B98" t="s">
        <v>72</v>
      </c>
      <c r="C98" t="s">
        <v>143</v>
      </c>
      <c r="D98">
        <v>9</v>
      </c>
      <c r="E98" t="str">
        <f t="shared" si="81"/>
        <v>back_space</v>
      </c>
      <c r="F98" t="str">
        <f t="shared" si="82"/>
        <v>KEY_09</v>
      </c>
      <c r="G98" t="str">
        <f t="shared" si="83"/>
        <v>SetDate-KEY_09-back_space.png</v>
      </c>
      <c r="H98" t="str">
        <f t="shared" si="84"/>
        <v>InputEventMap.KEY_BACKSPACE</v>
      </c>
      <c r="I98" t="str">
        <f t="shared" si="85"/>
        <v>StreamdeckInput.KEY_09: InputEventMap.KEY_BACKSPACE,</v>
      </c>
    </row>
    <row r="99" spans="1:9">
      <c r="A99" t="s">
        <v>25</v>
      </c>
      <c r="B99" t="s">
        <v>73</v>
      </c>
      <c r="C99" t="s">
        <v>144</v>
      </c>
      <c r="D99">
        <v>14</v>
      </c>
      <c r="E99" t="str">
        <f t="shared" si="81"/>
        <v>enter</v>
      </c>
      <c r="F99" t="str">
        <f t="shared" si="82"/>
        <v>KEY_0E</v>
      </c>
      <c r="G99" t="str">
        <f t="shared" si="83"/>
        <v>SetDate-KEY_0E-enter.png</v>
      </c>
      <c r="H99" t="str">
        <f t="shared" si="84"/>
        <v>InputEventMap.KEY_ENTER</v>
      </c>
      <c r="I99" t="str">
        <f t="shared" si="85"/>
        <v>StreamdeckInput.KEY_0E: InputEventMap.KEY_ENTER,</v>
      </c>
    </row>
    <row r="100" spans="1:9">
      <c r="A100" t="s">
        <v>27</v>
      </c>
      <c r="B100" t="s">
        <v>98</v>
      </c>
      <c r="C100" t="s">
        <v>145</v>
      </c>
      <c r="D100">
        <v>0</v>
      </c>
      <c r="E100" t="str">
        <f t="shared" ref="E100" si="101">LOWER(
  TRIM(
    SUBSTITUTE(
      LEFT(B100, FIND(" = InputEventMap", B100) - 1),
      CHAR(160),
      " "
    )
  )
)</f>
        <v>screen</v>
      </c>
      <c r="F100" t="str">
        <f t="shared" ref="F100" si="102">"KEY_" &amp; CHOOSE(
    D100+1,
    "00","01","02","03","04","05","06","07","08","09","0A","0B","0C","0D","0E"
)</f>
        <v>KEY_00</v>
      </c>
      <c r="G100" t="str">
        <f t="shared" ref="G100" si="103">_xlfn.CONCAT(A100, "-", F100, "-", E100, ".png")</f>
        <v>SetName-KEY_00-screen.png</v>
      </c>
      <c r="H100" t="str">
        <f t="shared" ref="H100" si="104">MID(B100, FIND("InputEventMap", B100), LEN(B100))</f>
        <v>InputEventMap.KEY_ASTERISK</v>
      </c>
      <c r="I100" t="str">
        <f t="shared" ref="I100" si="105">_xlfn.CONCAT("StreamdeckInput.", F100, ": ", H100, ",")</f>
        <v>StreamdeckInput.KEY_00: InputEventMap.KEY_ASTERISK,</v>
      </c>
    </row>
    <row r="101" spans="1:9">
      <c r="A101" t="s">
        <v>27</v>
      </c>
      <c r="B101" t="s">
        <v>4</v>
      </c>
      <c r="C101" t="s">
        <v>87</v>
      </c>
      <c r="D101">
        <v>4</v>
      </c>
      <c r="E101" t="str">
        <f t="shared" si="81"/>
        <v>help</v>
      </c>
      <c r="F101" t="str">
        <f t="shared" si="82"/>
        <v>KEY_04</v>
      </c>
      <c r="G101" t="str">
        <f t="shared" si="83"/>
        <v>SetName-KEY_04-help.png</v>
      </c>
      <c r="H101" t="str">
        <f t="shared" si="84"/>
        <v>InputEventMap.KEY_ASTERISK</v>
      </c>
      <c r="I101" t="str">
        <f t="shared" si="85"/>
        <v>StreamdeckInput.KEY_04: InputEventMap.KEY_ASTERISK,</v>
      </c>
    </row>
    <row r="102" spans="1:9">
      <c r="A102" t="s">
        <v>27</v>
      </c>
      <c r="B102" t="s">
        <v>62</v>
      </c>
      <c r="C102" t="s">
        <v>133</v>
      </c>
      <c r="D102">
        <v>10</v>
      </c>
      <c r="E102" t="str">
        <f t="shared" si="81"/>
        <v>digit_0</v>
      </c>
      <c r="F102" t="str">
        <f t="shared" si="82"/>
        <v>KEY_0A</v>
      </c>
      <c r="G102" t="str">
        <f t="shared" si="83"/>
        <v>SetName-KEY_0A-digit_0.png</v>
      </c>
      <c r="H102" t="str">
        <f t="shared" si="84"/>
        <v>InputEventMap.KEY_0</v>
      </c>
      <c r="I102" t="str">
        <f t="shared" si="85"/>
        <v>StreamdeckInput.KEY_0A: InputEventMap.KEY_0,</v>
      </c>
    </row>
    <row r="103" spans="1:9">
      <c r="A103" t="s">
        <v>27</v>
      </c>
      <c r="B103" t="s">
        <v>63</v>
      </c>
      <c r="C103" t="s">
        <v>134</v>
      </c>
      <c r="D103">
        <v>11</v>
      </c>
      <c r="E103" t="str">
        <f t="shared" si="81"/>
        <v>digit_1</v>
      </c>
      <c r="F103" t="str">
        <f t="shared" si="82"/>
        <v>KEY_0B</v>
      </c>
      <c r="G103" t="str">
        <f t="shared" si="83"/>
        <v>SetName-KEY_0B-digit_1.png</v>
      </c>
      <c r="H103" t="str">
        <f t="shared" si="84"/>
        <v>InputEventMap.KEY_1</v>
      </c>
      <c r="I103" t="str">
        <f t="shared" si="85"/>
        <v>StreamdeckInput.KEY_0B: InputEventMap.KEY_1,</v>
      </c>
    </row>
    <row r="104" spans="1:9">
      <c r="A104" t="s">
        <v>27</v>
      </c>
      <c r="B104" t="s">
        <v>64</v>
      </c>
      <c r="C104" t="s">
        <v>135</v>
      </c>
      <c r="D104">
        <v>12</v>
      </c>
      <c r="E104" t="str">
        <f t="shared" si="81"/>
        <v>digit_2</v>
      </c>
      <c r="F104" t="str">
        <f t="shared" si="82"/>
        <v>KEY_0C</v>
      </c>
      <c r="G104" t="str">
        <f t="shared" si="83"/>
        <v>SetName-KEY_0C-digit_2.png</v>
      </c>
      <c r="H104" t="str">
        <f t="shared" si="84"/>
        <v>InputEventMap.KEY_2</v>
      </c>
      <c r="I104" t="str">
        <f t="shared" si="85"/>
        <v>StreamdeckInput.KEY_0C: InputEventMap.KEY_2,</v>
      </c>
    </row>
    <row r="105" spans="1:9">
      <c r="A105" t="s">
        <v>27</v>
      </c>
      <c r="B105" t="s">
        <v>65</v>
      </c>
      <c r="C105" t="s">
        <v>136</v>
      </c>
      <c r="D105">
        <v>13</v>
      </c>
      <c r="E105" t="str">
        <f t="shared" si="81"/>
        <v>digit_3</v>
      </c>
      <c r="F105" t="str">
        <f t="shared" si="82"/>
        <v>KEY_0D</v>
      </c>
      <c r="G105" t="str">
        <f t="shared" si="83"/>
        <v>SetName-KEY_0D-digit_3.png</v>
      </c>
      <c r="H105" t="str">
        <f t="shared" si="84"/>
        <v>InputEventMap.KEY_3</v>
      </c>
      <c r="I105" t="str">
        <f t="shared" si="85"/>
        <v>StreamdeckInput.KEY_0D: InputEventMap.KEY_3,</v>
      </c>
    </row>
    <row r="106" spans="1:9">
      <c r="A106" t="s">
        <v>27</v>
      </c>
      <c r="B106" t="s">
        <v>66</v>
      </c>
      <c r="C106" t="s">
        <v>137</v>
      </c>
      <c r="D106">
        <v>6</v>
      </c>
      <c r="E106" t="str">
        <f t="shared" si="81"/>
        <v>digit_4</v>
      </c>
      <c r="F106" t="str">
        <f t="shared" si="82"/>
        <v>KEY_06</v>
      </c>
      <c r="G106" t="str">
        <f t="shared" si="83"/>
        <v>SetName-KEY_06-digit_4.png</v>
      </c>
      <c r="H106" t="str">
        <f t="shared" si="84"/>
        <v>InputEventMap.KEY_4</v>
      </c>
      <c r="I106" t="str">
        <f t="shared" si="85"/>
        <v>StreamdeckInput.KEY_06: InputEventMap.KEY_4,</v>
      </c>
    </row>
    <row r="107" spans="1:9">
      <c r="A107" t="s">
        <v>27</v>
      </c>
      <c r="B107" t="s">
        <v>67</v>
      </c>
      <c r="C107" t="s">
        <v>138</v>
      </c>
      <c r="D107">
        <v>7</v>
      </c>
      <c r="E107" t="str">
        <f t="shared" si="81"/>
        <v>digit_5</v>
      </c>
      <c r="F107" t="str">
        <f t="shared" si="82"/>
        <v>KEY_07</v>
      </c>
      <c r="G107" t="str">
        <f t="shared" si="83"/>
        <v>SetName-KEY_07-digit_5.png</v>
      </c>
      <c r="H107" t="str">
        <f t="shared" si="84"/>
        <v>InputEventMap.KEY_5</v>
      </c>
      <c r="I107" t="str">
        <f t="shared" si="85"/>
        <v>StreamdeckInput.KEY_07: InputEventMap.KEY_5,</v>
      </c>
    </row>
    <row r="108" spans="1:9">
      <c r="A108" t="s">
        <v>27</v>
      </c>
      <c r="B108" t="s">
        <v>68</v>
      </c>
      <c r="C108" t="s">
        <v>139</v>
      </c>
      <c r="D108">
        <v>8</v>
      </c>
      <c r="E108" t="str">
        <f t="shared" si="81"/>
        <v>digit_6</v>
      </c>
      <c r="F108" t="str">
        <f t="shared" si="82"/>
        <v>KEY_08</v>
      </c>
      <c r="G108" t="str">
        <f t="shared" si="83"/>
        <v>SetName-KEY_08-digit_6.png</v>
      </c>
      <c r="H108" t="str">
        <f t="shared" si="84"/>
        <v>InputEventMap.KEY_6</v>
      </c>
      <c r="I108" t="str">
        <f t="shared" si="85"/>
        <v>StreamdeckInput.KEY_08: InputEventMap.KEY_6,</v>
      </c>
    </row>
    <row r="109" spans="1:9">
      <c r="A109" t="s">
        <v>27</v>
      </c>
      <c r="B109" t="s">
        <v>69</v>
      </c>
      <c r="C109" t="s">
        <v>140</v>
      </c>
      <c r="D109">
        <v>1</v>
      </c>
      <c r="E109" t="str">
        <f t="shared" si="81"/>
        <v>digit_7</v>
      </c>
      <c r="F109" t="str">
        <f t="shared" si="82"/>
        <v>KEY_01</v>
      </c>
      <c r="G109" t="str">
        <f t="shared" si="83"/>
        <v>SetName-KEY_01-digit_7.png</v>
      </c>
      <c r="H109" t="str">
        <f t="shared" si="84"/>
        <v>InputEventMap.KEY_7</v>
      </c>
      <c r="I109" t="str">
        <f t="shared" si="85"/>
        <v>StreamdeckInput.KEY_01: InputEventMap.KEY_7,</v>
      </c>
    </row>
    <row r="110" spans="1:9">
      <c r="A110" t="s">
        <v>27</v>
      </c>
      <c r="B110" t="s">
        <v>70</v>
      </c>
      <c r="C110" t="s">
        <v>141</v>
      </c>
      <c r="D110">
        <v>2</v>
      </c>
      <c r="E110" t="str">
        <f t="shared" si="81"/>
        <v>digit_8</v>
      </c>
      <c r="F110" t="str">
        <f t="shared" si="82"/>
        <v>KEY_02</v>
      </c>
      <c r="G110" t="str">
        <f t="shared" si="83"/>
        <v>SetName-KEY_02-digit_8.png</v>
      </c>
      <c r="H110" t="str">
        <f t="shared" si="84"/>
        <v>InputEventMap.KEY_8</v>
      </c>
      <c r="I110" t="str">
        <f t="shared" si="85"/>
        <v>StreamdeckInput.KEY_02: InputEventMap.KEY_8,</v>
      </c>
    </row>
    <row r="111" spans="1:9">
      <c r="A111" t="s">
        <v>27</v>
      </c>
      <c r="B111" t="s">
        <v>71</v>
      </c>
      <c r="C111" t="s">
        <v>142</v>
      </c>
      <c r="D111">
        <v>3</v>
      </c>
      <c r="E111" t="str">
        <f t="shared" si="81"/>
        <v>digit_9</v>
      </c>
      <c r="F111" t="str">
        <f t="shared" si="82"/>
        <v>KEY_03</v>
      </c>
      <c r="G111" t="str">
        <f t="shared" si="83"/>
        <v>SetName-KEY_03-digit_9.png</v>
      </c>
      <c r="H111" t="str">
        <f t="shared" si="84"/>
        <v>InputEventMap.KEY_9</v>
      </c>
      <c r="I111" t="str">
        <f t="shared" si="85"/>
        <v>StreamdeckInput.KEY_03: InputEventMap.KEY_9,</v>
      </c>
    </row>
    <row r="112" spans="1:9">
      <c r="A112" t="s">
        <v>27</v>
      </c>
      <c r="B112" t="s">
        <v>72</v>
      </c>
      <c r="C112" t="s">
        <v>143</v>
      </c>
      <c r="D112">
        <v>9</v>
      </c>
      <c r="E112" t="str">
        <f t="shared" si="81"/>
        <v>back_space</v>
      </c>
      <c r="F112" t="str">
        <f t="shared" si="82"/>
        <v>KEY_09</v>
      </c>
      <c r="G112" t="str">
        <f t="shared" si="83"/>
        <v>SetName-KEY_09-back_space.png</v>
      </c>
      <c r="H112" t="str">
        <f t="shared" si="84"/>
        <v>InputEventMap.KEY_BACKSPACE</v>
      </c>
      <c r="I112" t="str">
        <f t="shared" si="85"/>
        <v>StreamdeckInput.KEY_09: InputEventMap.KEY_BACKSPACE,</v>
      </c>
    </row>
    <row r="113" spans="1:9">
      <c r="A113" t="s">
        <v>27</v>
      </c>
      <c r="B113" t="s">
        <v>73</v>
      </c>
      <c r="C113" t="s">
        <v>144</v>
      </c>
      <c r="D113">
        <v>14</v>
      </c>
      <c r="E113" t="str">
        <f t="shared" si="81"/>
        <v>enter</v>
      </c>
      <c r="F113" t="str">
        <f t="shared" si="82"/>
        <v>KEY_0E</v>
      </c>
      <c r="G113" t="str">
        <f t="shared" si="83"/>
        <v>SetName-KEY_0E-enter.png</v>
      </c>
      <c r="H113" t="str">
        <f t="shared" si="84"/>
        <v>InputEventMap.KEY_ENTER</v>
      </c>
      <c r="I113" t="str">
        <f t="shared" si="85"/>
        <v>StreamdeckInput.KEY_0E: InputEventMap.KEY_ENTER,</v>
      </c>
    </row>
    <row r="114" spans="1:9">
      <c r="A114" t="s">
        <v>26</v>
      </c>
      <c r="B114" t="s">
        <v>98</v>
      </c>
      <c r="C114" t="s">
        <v>146</v>
      </c>
      <c r="D114">
        <v>0</v>
      </c>
      <c r="E114" t="str">
        <f t="shared" ref="E114" si="106">LOWER(
  TRIM(
    SUBSTITUTE(
      LEFT(B114, FIND(" = InputEventMap", B114) - 1),
      CHAR(160),
      " "
    )
  )
)</f>
        <v>screen</v>
      </c>
      <c r="F114" t="str">
        <f t="shared" ref="F114" si="107">"KEY_" &amp; CHOOSE(
    D114+1,
    "00","01","02","03","04","05","06","07","08","09","0A","0B","0C","0D","0E"
)</f>
        <v>KEY_00</v>
      </c>
      <c r="G114" t="str">
        <f t="shared" ref="G114" si="108">_xlfn.CONCAT(A114, "-", F114, "-", E114, ".png")</f>
        <v>SetTime-KEY_00-screen.png</v>
      </c>
      <c r="H114" t="str">
        <f t="shared" ref="H114" si="109">MID(B114, FIND("InputEventMap", B114), LEN(B114))</f>
        <v>InputEventMap.KEY_ASTERISK</v>
      </c>
      <c r="I114" t="str">
        <f t="shared" ref="I114" si="110">_xlfn.CONCAT("StreamdeckInput.", F114, ": ", H114, ",")</f>
        <v>StreamdeckInput.KEY_00: InputEventMap.KEY_ASTERISK,</v>
      </c>
    </row>
    <row r="115" spans="1:9">
      <c r="A115" t="s">
        <v>26</v>
      </c>
      <c r="B115" t="s">
        <v>4</v>
      </c>
      <c r="C115" t="s">
        <v>87</v>
      </c>
      <c r="D115">
        <v>4</v>
      </c>
      <c r="E115" t="str">
        <f t="shared" si="81"/>
        <v>help</v>
      </c>
      <c r="F115" t="str">
        <f t="shared" si="82"/>
        <v>KEY_04</v>
      </c>
      <c r="G115" t="str">
        <f t="shared" si="83"/>
        <v>SetTime-KEY_04-help.png</v>
      </c>
      <c r="H115" t="str">
        <f t="shared" si="84"/>
        <v>InputEventMap.KEY_ASTERISK</v>
      </c>
      <c r="I115" t="str">
        <f t="shared" si="85"/>
        <v>StreamdeckInput.KEY_04: InputEventMap.KEY_ASTERISK,</v>
      </c>
    </row>
    <row r="116" spans="1:9">
      <c r="A116" t="s">
        <v>26</v>
      </c>
      <c r="B116" t="s">
        <v>62</v>
      </c>
      <c r="C116" t="s">
        <v>133</v>
      </c>
      <c r="D116">
        <v>10</v>
      </c>
      <c r="E116" t="str">
        <f t="shared" si="81"/>
        <v>digit_0</v>
      </c>
      <c r="F116" t="str">
        <f t="shared" si="82"/>
        <v>KEY_0A</v>
      </c>
      <c r="G116" t="str">
        <f t="shared" si="83"/>
        <v>SetTime-KEY_0A-digit_0.png</v>
      </c>
      <c r="H116" t="str">
        <f t="shared" si="84"/>
        <v>InputEventMap.KEY_0</v>
      </c>
      <c r="I116" t="str">
        <f t="shared" si="85"/>
        <v>StreamdeckInput.KEY_0A: InputEventMap.KEY_0,</v>
      </c>
    </row>
    <row r="117" spans="1:9">
      <c r="A117" t="s">
        <v>26</v>
      </c>
      <c r="B117" t="s">
        <v>63</v>
      </c>
      <c r="C117" t="s">
        <v>134</v>
      </c>
      <c r="D117">
        <v>11</v>
      </c>
      <c r="E117" t="str">
        <f t="shared" si="81"/>
        <v>digit_1</v>
      </c>
      <c r="F117" t="str">
        <f t="shared" si="82"/>
        <v>KEY_0B</v>
      </c>
      <c r="G117" t="str">
        <f t="shared" si="83"/>
        <v>SetTime-KEY_0B-digit_1.png</v>
      </c>
      <c r="H117" t="str">
        <f t="shared" si="84"/>
        <v>InputEventMap.KEY_1</v>
      </c>
      <c r="I117" t="str">
        <f t="shared" si="85"/>
        <v>StreamdeckInput.KEY_0B: InputEventMap.KEY_1,</v>
      </c>
    </row>
    <row r="118" spans="1:9">
      <c r="A118" t="s">
        <v>26</v>
      </c>
      <c r="B118" t="s">
        <v>64</v>
      </c>
      <c r="C118" t="s">
        <v>135</v>
      </c>
      <c r="D118">
        <v>12</v>
      </c>
      <c r="E118" t="str">
        <f t="shared" si="81"/>
        <v>digit_2</v>
      </c>
      <c r="F118" t="str">
        <f t="shared" si="82"/>
        <v>KEY_0C</v>
      </c>
      <c r="G118" t="str">
        <f t="shared" si="83"/>
        <v>SetTime-KEY_0C-digit_2.png</v>
      </c>
      <c r="H118" t="str">
        <f t="shared" si="84"/>
        <v>InputEventMap.KEY_2</v>
      </c>
      <c r="I118" t="str">
        <f t="shared" si="85"/>
        <v>StreamdeckInput.KEY_0C: InputEventMap.KEY_2,</v>
      </c>
    </row>
    <row r="119" spans="1:9">
      <c r="A119" t="s">
        <v>26</v>
      </c>
      <c r="B119" t="s">
        <v>65</v>
      </c>
      <c r="C119" t="s">
        <v>136</v>
      </c>
      <c r="D119">
        <v>13</v>
      </c>
      <c r="E119" t="str">
        <f t="shared" si="81"/>
        <v>digit_3</v>
      </c>
      <c r="F119" t="str">
        <f t="shared" si="82"/>
        <v>KEY_0D</v>
      </c>
      <c r="G119" t="str">
        <f t="shared" si="83"/>
        <v>SetTime-KEY_0D-digit_3.png</v>
      </c>
      <c r="H119" t="str">
        <f t="shared" si="84"/>
        <v>InputEventMap.KEY_3</v>
      </c>
      <c r="I119" t="str">
        <f t="shared" si="85"/>
        <v>StreamdeckInput.KEY_0D: InputEventMap.KEY_3,</v>
      </c>
    </row>
    <row r="120" spans="1:9">
      <c r="A120" t="s">
        <v>26</v>
      </c>
      <c r="B120" t="s">
        <v>66</v>
      </c>
      <c r="C120" t="s">
        <v>137</v>
      </c>
      <c r="D120">
        <v>6</v>
      </c>
      <c r="E120" t="str">
        <f t="shared" si="81"/>
        <v>digit_4</v>
      </c>
      <c r="F120" t="str">
        <f t="shared" si="82"/>
        <v>KEY_06</v>
      </c>
      <c r="G120" t="str">
        <f t="shared" si="83"/>
        <v>SetTime-KEY_06-digit_4.png</v>
      </c>
      <c r="H120" t="str">
        <f t="shared" si="84"/>
        <v>InputEventMap.KEY_4</v>
      </c>
      <c r="I120" t="str">
        <f t="shared" si="85"/>
        <v>StreamdeckInput.KEY_06: InputEventMap.KEY_4,</v>
      </c>
    </row>
    <row r="121" spans="1:9">
      <c r="A121" t="s">
        <v>26</v>
      </c>
      <c r="B121" t="s">
        <v>67</v>
      </c>
      <c r="C121" t="s">
        <v>138</v>
      </c>
      <c r="D121">
        <v>7</v>
      </c>
      <c r="E121" t="str">
        <f t="shared" si="81"/>
        <v>digit_5</v>
      </c>
      <c r="F121" t="str">
        <f t="shared" si="82"/>
        <v>KEY_07</v>
      </c>
      <c r="G121" t="str">
        <f t="shared" si="83"/>
        <v>SetTime-KEY_07-digit_5.png</v>
      </c>
      <c r="H121" t="str">
        <f t="shared" si="84"/>
        <v>InputEventMap.KEY_5</v>
      </c>
      <c r="I121" t="str">
        <f t="shared" si="85"/>
        <v>StreamdeckInput.KEY_07: InputEventMap.KEY_5,</v>
      </c>
    </row>
    <row r="122" spans="1:9">
      <c r="A122" t="s">
        <v>26</v>
      </c>
      <c r="B122" t="s">
        <v>68</v>
      </c>
      <c r="C122" t="s">
        <v>139</v>
      </c>
      <c r="D122">
        <v>8</v>
      </c>
      <c r="E122" t="str">
        <f t="shared" si="81"/>
        <v>digit_6</v>
      </c>
      <c r="F122" t="str">
        <f t="shared" si="82"/>
        <v>KEY_08</v>
      </c>
      <c r="G122" t="str">
        <f t="shared" si="83"/>
        <v>SetTime-KEY_08-digit_6.png</v>
      </c>
      <c r="H122" t="str">
        <f t="shared" si="84"/>
        <v>InputEventMap.KEY_6</v>
      </c>
      <c r="I122" t="str">
        <f t="shared" si="85"/>
        <v>StreamdeckInput.KEY_08: InputEventMap.KEY_6,</v>
      </c>
    </row>
    <row r="123" spans="1:9">
      <c r="A123" t="s">
        <v>26</v>
      </c>
      <c r="B123" t="s">
        <v>69</v>
      </c>
      <c r="C123" t="s">
        <v>140</v>
      </c>
      <c r="D123">
        <v>1</v>
      </c>
      <c r="E123" t="str">
        <f t="shared" si="81"/>
        <v>digit_7</v>
      </c>
      <c r="F123" t="str">
        <f t="shared" si="82"/>
        <v>KEY_01</v>
      </c>
      <c r="G123" t="str">
        <f t="shared" si="83"/>
        <v>SetTime-KEY_01-digit_7.png</v>
      </c>
      <c r="H123" t="str">
        <f t="shared" si="84"/>
        <v>InputEventMap.KEY_7</v>
      </c>
      <c r="I123" t="str">
        <f t="shared" si="85"/>
        <v>StreamdeckInput.KEY_01: InputEventMap.KEY_7,</v>
      </c>
    </row>
    <row r="124" spans="1:9">
      <c r="A124" t="s">
        <v>26</v>
      </c>
      <c r="B124" t="s">
        <v>70</v>
      </c>
      <c r="C124" t="s">
        <v>141</v>
      </c>
      <c r="D124">
        <v>2</v>
      </c>
      <c r="E124" t="str">
        <f t="shared" si="81"/>
        <v>digit_8</v>
      </c>
      <c r="F124" t="str">
        <f t="shared" si="82"/>
        <v>KEY_02</v>
      </c>
      <c r="G124" t="str">
        <f t="shared" si="83"/>
        <v>SetTime-KEY_02-digit_8.png</v>
      </c>
      <c r="H124" t="str">
        <f t="shared" si="84"/>
        <v>InputEventMap.KEY_8</v>
      </c>
      <c r="I124" t="str">
        <f t="shared" si="85"/>
        <v>StreamdeckInput.KEY_02: InputEventMap.KEY_8,</v>
      </c>
    </row>
    <row r="125" spans="1:9">
      <c r="A125" t="s">
        <v>26</v>
      </c>
      <c r="B125" t="s">
        <v>71</v>
      </c>
      <c r="C125" t="s">
        <v>142</v>
      </c>
      <c r="D125">
        <v>3</v>
      </c>
      <c r="E125" t="str">
        <f t="shared" si="81"/>
        <v>digit_9</v>
      </c>
      <c r="F125" t="str">
        <f t="shared" si="82"/>
        <v>KEY_03</v>
      </c>
      <c r="G125" t="str">
        <f t="shared" si="83"/>
        <v>SetTime-KEY_03-digit_9.png</v>
      </c>
      <c r="H125" t="str">
        <f t="shared" si="84"/>
        <v>InputEventMap.KEY_9</v>
      </c>
      <c r="I125" t="str">
        <f t="shared" si="85"/>
        <v>StreamdeckInput.KEY_03: InputEventMap.KEY_9,</v>
      </c>
    </row>
    <row r="126" spans="1:9">
      <c r="A126" t="s">
        <v>26</v>
      </c>
      <c r="B126" t="s">
        <v>72</v>
      </c>
      <c r="C126" t="s">
        <v>143</v>
      </c>
      <c r="D126">
        <v>9</v>
      </c>
      <c r="E126" t="str">
        <f t="shared" si="81"/>
        <v>back_space</v>
      </c>
      <c r="F126" t="str">
        <f t="shared" si="82"/>
        <v>KEY_09</v>
      </c>
      <c r="G126" t="str">
        <f t="shared" si="83"/>
        <v>SetTime-KEY_09-back_space.png</v>
      </c>
      <c r="H126" t="str">
        <f t="shared" si="84"/>
        <v>InputEventMap.KEY_BACKSPACE</v>
      </c>
      <c r="I126" t="str">
        <f t="shared" si="85"/>
        <v>StreamdeckInput.KEY_09: InputEventMap.KEY_BACKSPACE,</v>
      </c>
    </row>
    <row r="127" spans="1:9">
      <c r="A127" t="s">
        <v>26</v>
      </c>
      <c r="B127" t="s">
        <v>73</v>
      </c>
      <c r="C127" t="s">
        <v>144</v>
      </c>
      <c r="D127">
        <v>14</v>
      </c>
      <c r="E127" t="str">
        <f t="shared" si="81"/>
        <v>enter</v>
      </c>
      <c r="F127" t="str">
        <f t="shared" si="82"/>
        <v>KEY_0E</v>
      </c>
      <c r="G127" t="str">
        <f t="shared" si="83"/>
        <v>SetTime-KEY_0E-enter.png</v>
      </c>
      <c r="H127" t="str">
        <f t="shared" si="84"/>
        <v>InputEventMap.KEY_ENTER</v>
      </c>
      <c r="I127" t="str">
        <f t="shared" si="85"/>
        <v>StreamdeckInput.KEY_0E: InputEventMap.KEY_ENTER,</v>
      </c>
    </row>
    <row r="128" spans="1:9">
      <c r="A128" t="s">
        <v>30</v>
      </c>
      <c r="B128" t="s">
        <v>98</v>
      </c>
      <c r="C128" t="s">
        <v>147</v>
      </c>
      <c r="D128">
        <v>0</v>
      </c>
      <c r="E128" t="str">
        <f t="shared" ref="E128" si="111">LOWER(
  TRIM(
    SUBSTITUTE(
      LEFT(B128, FIND(" = InputEventMap", B128) - 1),
      CHAR(160),
      " "
    )
  )
)</f>
        <v>screen</v>
      </c>
      <c r="F128" t="str">
        <f t="shared" ref="F128" si="112">"KEY_" &amp; CHOOSE(
    D128+1,
    "00","01","02","03","04","05","06","07","08","09","0A","0B","0C","0D","0E"
)</f>
        <v>KEY_00</v>
      </c>
      <c r="G128" t="str">
        <f t="shared" ref="G128" si="113">_xlfn.CONCAT(A128, "-", F128, "-", E128, ".png")</f>
        <v>StorageManagement-KEY_00-screen.png</v>
      </c>
      <c r="H128" t="str">
        <f t="shared" ref="H128" si="114">MID(B128, FIND("InputEventMap", B128), LEN(B128))</f>
        <v>InputEventMap.KEY_ASTERISK</v>
      </c>
      <c r="I128" t="str">
        <f t="shared" ref="I128" si="115">_xlfn.CONCAT("StreamdeckInput.", F128, ": ", H128, ",")</f>
        <v>StreamdeckInput.KEY_00: InputEventMap.KEY_ASTERISK,</v>
      </c>
    </row>
    <row r="129" spans="1:9">
      <c r="A129" t="s">
        <v>30</v>
      </c>
      <c r="B129" t="s">
        <v>4</v>
      </c>
      <c r="C129" t="s">
        <v>87</v>
      </c>
      <c r="D129">
        <v>4</v>
      </c>
      <c r="E129" t="str">
        <f t="shared" si="81"/>
        <v>help</v>
      </c>
      <c r="F129" t="str">
        <f t="shared" si="82"/>
        <v>KEY_04</v>
      </c>
      <c r="G129" t="str">
        <f t="shared" si="83"/>
        <v>StorageManagement-KEY_04-help.png</v>
      </c>
      <c r="H129" t="str">
        <f t="shared" si="84"/>
        <v>InputEventMap.KEY_ASTERISK</v>
      </c>
      <c r="I129" t="str">
        <f t="shared" si="85"/>
        <v>StreamdeckInput.KEY_04: InputEventMap.KEY_ASTERISK,</v>
      </c>
    </row>
    <row r="130" spans="1:9">
      <c r="A130" t="s">
        <v>30</v>
      </c>
      <c r="B130" t="s">
        <v>5</v>
      </c>
      <c r="C130" t="s">
        <v>88</v>
      </c>
      <c r="D130">
        <v>9</v>
      </c>
      <c r="E130" t="str">
        <f t="shared" ref="E130:E145" si="116">LOWER(
  TRIM(
    SUBSTITUTE(
      LEFT(B130, FIND(" = InputEventMap", B130) - 1),
      CHAR(160),
      " "
    )
  )
)</f>
        <v>menu</v>
      </c>
      <c r="F130" t="str">
        <f t="shared" ref="F130:F145" si="117">"KEY_" &amp; CHOOSE(
    D130+1,
    "00","01","02","03","04","05","06","07","08","09","0A","0B","0C","0D","0E"
)</f>
        <v>KEY_09</v>
      </c>
      <c r="G130" t="str">
        <f t="shared" ref="G130:G145" si="118">_xlfn.CONCAT(A130, "-", F130, "-", E130, ".png")</f>
        <v>StorageManagement-KEY_09-menu.png</v>
      </c>
      <c r="H130" t="str">
        <f t="shared" ref="H130:H145" si="119">MID(B130, FIND("InputEventMap", B130), LEN(B130))</f>
        <v>InputEventMap.KEY_5</v>
      </c>
      <c r="I130" t="str">
        <f t="shared" ref="I130:I145" si="120">_xlfn.CONCAT("StreamdeckInput.", F130, ": ", H130, ",")</f>
        <v>StreamdeckInput.KEY_09: InputEventMap.KEY_5,</v>
      </c>
    </row>
    <row r="131" spans="1:9">
      <c r="A131" t="s">
        <v>30</v>
      </c>
      <c r="B131" t="s">
        <v>74</v>
      </c>
      <c r="C131" t="s">
        <v>148</v>
      </c>
      <c r="D131">
        <v>5</v>
      </c>
      <c r="E131" t="str">
        <f t="shared" si="116"/>
        <v>disconnect_storage</v>
      </c>
      <c r="F131" t="str">
        <f t="shared" si="117"/>
        <v>KEY_05</v>
      </c>
      <c r="G131" t="str">
        <f t="shared" si="118"/>
        <v>StorageManagement-KEY_05-disconnect_storage.png</v>
      </c>
      <c r="H131" t="str">
        <f t="shared" si="119"/>
        <v>InputEventMap.KEY_0</v>
      </c>
      <c r="I131" t="str">
        <f t="shared" si="120"/>
        <v>StreamdeckInput.KEY_05: InputEventMap.KEY_0,</v>
      </c>
    </row>
    <row r="132" spans="1:9">
      <c r="A132" t="s">
        <v>30</v>
      </c>
      <c r="B132" t="s">
        <v>75</v>
      </c>
      <c r="C132" t="s">
        <v>91</v>
      </c>
      <c r="D132">
        <v>1</v>
      </c>
      <c r="E132" t="str">
        <f t="shared" si="116"/>
        <v>detect_rc1</v>
      </c>
      <c r="F132" t="str">
        <f t="shared" si="117"/>
        <v>KEY_01</v>
      </c>
      <c r="G132" t="str">
        <f t="shared" si="118"/>
        <v>StorageManagement-KEY_01-detect_rc1.png</v>
      </c>
      <c r="H132" t="str">
        <f t="shared" si="119"/>
        <v>InputEventMap.KEY_1</v>
      </c>
      <c r="I132" t="str">
        <f t="shared" si="120"/>
        <v>StreamdeckInput.KEY_01: InputEventMap.KEY_1,</v>
      </c>
    </row>
    <row r="133" spans="1:9">
      <c r="A133" t="s">
        <v>30</v>
      </c>
      <c r="B133" t="s">
        <v>76</v>
      </c>
      <c r="C133" t="s">
        <v>91</v>
      </c>
      <c r="D133">
        <v>2</v>
      </c>
      <c r="E133" t="str">
        <f t="shared" si="116"/>
        <v>detect_rc2</v>
      </c>
      <c r="F133" t="str">
        <f t="shared" si="117"/>
        <v>KEY_02</v>
      </c>
      <c r="G133" t="str">
        <f t="shared" si="118"/>
        <v>StorageManagement-KEY_02-detect_rc2.png</v>
      </c>
      <c r="H133" t="str">
        <f t="shared" si="119"/>
        <v>InputEventMap.KEY_3</v>
      </c>
      <c r="I133" t="str">
        <f t="shared" si="120"/>
        <v>StreamdeckInput.KEY_02: InputEventMap.KEY_3,</v>
      </c>
    </row>
    <row r="134" spans="1:9">
      <c r="A134" t="s">
        <v>30</v>
      </c>
      <c r="B134" t="s">
        <v>77</v>
      </c>
      <c r="C134" t="s">
        <v>92</v>
      </c>
      <c r="D134">
        <v>6</v>
      </c>
      <c r="E134" t="str">
        <f t="shared" si="116"/>
        <v>format_rc1</v>
      </c>
      <c r="F134" t="str">
        <f t="shared" si="117"/>
        <v>KEY_06</v>
      </c>
      <c r="G134" t="str">
        <f t="shared" si="118"/>
        <v>StorageManagement-KEY_06-format_rc1.png</v>
      </c>
      <c r="H134" t="str">
        <f t="shared" si="119"/>
        <v>InputEventMap.KEY_4</v>
      </c>
      <c r="I134" t="str">
        <f t="shared" si="120"/>
        <v>StreamdeckInput.KEY_06: InputEventMap.KEY_4,</v>
      </c>
    </row>
    <row r="135" spans="1:9">
      <c r="A135" t="s">
        <v>30</v>
      </c>
      <c r="B135" t="s">
        <v>78</v>
      </c>
      <c r="C135" t="s">
        <v>92</v>
      </c>
      <c r="D135">
        <v>7</v>
      </c>
      <c r="E135" t="str">
        <f t="shared" si="116"/>
        <v>format_rc2</v>
      </c>
      <c r="F135" t="str">
        <f t="shared" si="117"/>
        <v>KEY_07</v>
      </c>
      <c r="G135" t="str">
        <f t="shared" si="118"/>
        <v>StorageManagement-KEY_07-format_rc2.png</v>
      </c>
      <c r="H135" t="str">
        <f t="shared" si="119"/>
        <v>InputEventMap.KEY_6</v>
      </c>
      <c r="I135" t="str">
        <f t="shared" si="120"/>
        <v>StreamdeckInput.KEY_07: InputEventMap.KEY_6,</v>
      </c>
    </row>
    <row r="136" spans="1:9">
      <c r="A136" t="s">
        <v>30</v>
      </c>
      <c r="B136" t="s">
        <v>79</v>
      </c>
      <c r="C136" t="s">
        <v>95</v>
      </c>
      <c r="D136">
        <v>11</v>
      </c>
      <c r="E136" t="str">
        <f t="shared" si="116"/>
        <v>clean_rc1</v>
      </c>
      <c r="F136" t="str">
        <f t="shared" si="117"/>
        <v>KEY_0B</v>
      </c>
      <c r="G136" t="str">
        <f t="shared" si="118"/>
        <v>StorageManagement-KEY_0B-clean_rc1.png</v>
      </c>
      <c r="H136" t="str">
        <f t="shared" si="119"/>
        <v>InputEventMap.KEY_7</v>
      </c>
      <c r="I136" t="str">
        <f t="shared" si="120"/>
        <v>StreamdeckInput.KEY_0B: InputEventMap.KEY_7,</v>
      </c>
    </row>
    <row r="137" spans="1:9">
      <c r="A137" t="s">
        <v>30</v>
      </c>
      <c r="B137" t="s">
        <v>80</v>
      </c>
      <c r="C137" t="s">
        <v>95</v>
      </c>
      <c r="D137">
        <v>12</v>
      </c>
      <c r="E137" t="str">
        <f t="shared" si="116"/>
        <v>clean_rc2</v>
      </c>
      <c r="F137" t="str">
        <f t="shared" si="117"/>
        <v>KEY_0C</v>
      </c>
      <c r="G137" t="str">
        <f t="shared" si="118"/>
        <v>StorageManagement-KEY_0C-clean_rc2.png</v>
      </c>
      <c r="H137" t="str">
        <f t="shared" si="119"/>
        <v>InputEventMap.KEY_9</v>
      </c>
      <c r="I137" t="str">
        <f t="shared" si="120"/>
        <v>StreamdeckInput.KEY_0C: InputEventMap.KEY_9,</v>
      </c>
    </row>
    <row r="138" spans="1:9">
      <c r="A138" t="s">
        <v>8</v>
      </c>
      <c r="B138" t="s">
        <v>98</v>
      </c>
      <c r="C138" t="s">
        <v>149</v>
      </c>
      <c r="D138">
        <v>0</v>
      </c>
      <c r="E138" t="str">
        <f t="shared" ref="E138" si="121">LOWER(
  TRIM(
    SUBSTITUTE(
      LEFT(B138, FIND(" = InputEventMap", B138) - 1),
      CHAR(160),
      " "
    )
  )
)</f>
        <v>screen</v>
      </c>
      <c r="F138" t="str">
        <f t="shared" ref="F138" si="122">"KEY_" &amp; CHOOSE(
    D138+1,
    "00","01","02","03","04","05","06","07","08","09","0A","0B","0C","0D","0E"
)</f>
        <v>KEY_00</v>
      </c>
      <c r="G138" t="str">
        <f t="shared" ref="G138" si="123">_xlfn.CONCAT(A138, "-", F138, "-", E138, ".png")</f>
        <v>System-KEY_00-screen.png</v>
      </c>
      <c r="H138" t="str">
        <f t="shared" ref="H138" si="124">MID(B138, FIND("InputEventMap", B138), LEN(B138))</f>
        <v>InputEventMap.KEY_ASTERISK</v>
      </c>
      <c r="I138" t="str">
        <f t="shared" ref="I138" si="125">_xlfn.CONCAT("StreamdeckInput.", F138, ": ", H138, ",")</f>
        <v>StreamdeckInput.KEY_00: InputEventMap.KEY_ASTERISK,</v>
      </c>
    </row>
    <row r="139" spans="1:9">
      <c r="A139" t="s">
        <v>8</v>
      </c>
      <c r="B139" t="s">
        <v>4</v>
      </c>
      <c r="C139" t="s">
        <v>87</v>
      </c>
      <c r="D139">
        <v>4</v>
      </c>
      <c r="E139" t="str">
        <f t="shared" si="116"/>
        <v>help</v>
      </c>
      <c r="F139" t="str">
        <f t="shared" si="117"/>
        <v>KEY_04</v>
      </c>
      <c r="G139" t="str">
        <f t="shared" si="118"/>
        <v>System-KEY_04-help.png</v>
      </c>
      <c r="H139" t="str">
        <f t="shared" si="119"/>
        <v>InputEventMap.KEY_ASTERISK</v>
      </c>
      <c r="I139" t="str">
        <f t="shared" si="120"/>
        <v>StreamdeckInput.KEY_04: InputEventMap.KEY_ASTERISK,</v>
      </c>
    </row>
    <row r="140" spans="1:9">
      <c r="A140" t="s">
        <v>8</v>
      </c>
      <c r="B140" t="s">
        <v>81</v>
      </c>
      <c r="C140" t="s">
        <v>96</v>
      </c>
      <c r="D140">
        <v>9</v>
      </c>
      <c r="E140" t="str">
        <f t="shared" si="116"/>
        <v>select_main</v>
      </c>
      <c r="F140" t="str">
        <f t="shared" si="117"/>
        <v>KEY_09</v>
      </c>
      <c r="G140" t="str">
        <f t="shared" si="118"/>
        <v>System-KEY_09-select_main.png</v>
      </c>
      <c r="H140" t="str">
        <f t="shared" si="119"/>
        <v>InputEventMap.KEY_1</v>
      </c>
      <c r="I140" t="str">
        <f t="shared" si="120"/>
        <v>StreamdeckInput.KEY_09: InputEventMap.KEY_1,</v>
      </c>
    </row>
    <row r="141" spans="1:9">
      <c r="A141" t="s">
        <v>8</v>
      </c>
      <c r="B141" t="s">
        <v>82</v>
      </c>
      <c r="C141" t="s">
        <v>150</v>
      </c>
      <c r="D141">
        <v>6</v>
      </c>
      <c r="E141" t="str">
        <f t="shared" si="116"/>
        <v>select_language</v>
      </c>
      <c r="F141" t="str">
        <f t="shared" si="117"/>
        <v>KEY_06</v>
      </c>
      <c r="G141" t="str">
        <f t="shared" si="118"/>
        <v>System-KEY_06-select_language.png</v>
      </c>
      <c r="H141" t="str">
        <f t="shared" si="119"/>
        <v>InputEventMap.KEY_2</v>
      </c>
      <c r="I141" t="str">
        <f t="shared" si="120"/>
        <v>StreamdeckInput.KEY_06: InputEventMap.KEY_2,</v>
      </c>
    </row>
    <row r="142" spans="1:9">
      <c r="A142" t="s">
        <v>8</v>
      </c>
      <c r="B142" t="s">
        <v>83</v>
      </c>
      <c r="C142" t="s">
        <v>151</v>
      </c>
      <c r="D142">
        <v>7</v>
      </c>
      <c r="E142" t="str">
        <f t="shared" si="116"/>
        <v>select_storage</v>
      </c>
      <c r="F142" t="str">
        <f t="shared" si="117"/>
        <v>KEY_07</v>
      </c>
      <c r="G142" t="str">
        <f t="shared" si="118"/>
        <v>System-KEY_07-select_storage.png</v>
      </c>
      <c r="H142" t="str">
        <f t="shared" si="119"/>
        <v>InputEventMap.KEY_3</v>
      </c>
      <c r="I142" t="str">
        <f t="shared" si="120"/>
        <v>StreamdeckInput.KEY_07: InputEventMap.KEY_3,</v>
      </c>
    </row>
    <row r="143" spans="1:9">
      <c r="A143" t="s">
        <v>8</v>
      </c>
      <c r="B143" t="s">
        <v>84</v>
      </c>
      <c r="C143" t="s">
        <v>152</v>
      </c>
      <c r="D143">
        <v>11</v>
      </c>
      <c r="E143" t="str">
        <f t="shared" si="116"/>
        <v>set_date</v>
      </c>
      <c r="F143" t="str">
        <f t="shared" si="117"/>
        <v>KEY_0B</v>
      </c>
      <c r="G143" t="str">
        <f t="shared" si="118"/>
        <v>System-KEY_0B-set_date.png</v>
      </c>
      <c r="H143" t="str">
        <f t="shared" si="119"/>
        <v>InputEventMap.KEY_4</v>
      </c>
      <c r="I143" t="str">
        <f t="shared" si="120"/>
        <v>StreamdeckInput.KEY_0B: InputEventMap.KEY_4,</v>
      </c>
    </row>
    <row r="144" spans="1:9">
      <c r="A144" t="s">
        <v>8</v>
      </c>
      <c r="B144" t="s">
        <v>85</v>
      </c>
      <c r="C144" t="s">
        <v>153</v>
      </c>
      <c r="D144">
        <v>12</v>
      </c>
      <c r="E144" t="str">
        <f t="shared" si="116"/>
        <v>set_time</v>
      </c>
      <c r="F144" t="str">
        <f t="shared" si="117"/>
        <v>KEY_0C</v>
      </c>
      <c r="G144" t="str">
        <f t="shared" si="118"/>
        <v>System-KEY_0C-set_time.png</v>
      </c>
      <c r="H144" t="str">
        <f t="shared" si="119"/>
        <v>InputEventMap.KEY_6</v>
      </c>
      <c r="I144" t="str">
        <f t="shared" si="120"/>
        <v>StreamdeckInput.KEY_0C: InputEventMap.KEY_6,</v>
      </c>
    </row>
    <row r="145" spans="1:9">
      <c r="A145" t="s">
        <v>8</v>
      </c>
      <c r="B145" t="s">
        <v>45</v>
      </c>
      <c r="C145" t="s">
        <v>102</v>
      </c>
      <c r="D145">
        <v>14</v>
      </c>
      <c r="E145" t="str">
        <f t="shared" si="116"/>
        <v>stop_system</v>
      </c>
      <c r="F145" t="str">
        <f t="shared" si="117"/>
        <v>KEY_0E</v>
      </c>
      <c r="G145" t="str">
        <f t="shared" si="118"/>
        <v>System-KEY_0E-stop_system.png</v>
      </c>
      <c r="H145" t="str">
        <f t="shared" si="119"/>
        <v>InputEventMap.KEY_9</v>
      </c>
      <c r="I145" t="str">
        <f t="shared" si="120"/>
        <v>StreamdeckInput.KEY_0E: InputEventMap.KEY_9,</v>
      </c>
    </row>
  </sheetData>
  <autoFilter ref="A1:I145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dcterms:created xsi:type="dcterms:W3CDTF">2025-12-25T10:48:21Z</dcterms:created>
  <dcterms:modified xsi:type="dcterms:W3CDTF">2026-01-04T15:28:28Z</dcterms:modified>
</cp:coreProperties>
</file>