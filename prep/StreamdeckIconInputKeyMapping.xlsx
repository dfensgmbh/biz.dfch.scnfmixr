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rene\src\biz.dfch.PhoneTap\prep\"/>
    </mc:Choice>
  </mc:AlternateContent>
  <xr:revisionPtr revIDLastSave="0" documentId="13_ncr:1_{C7A8E33B-C47B-435B-8BB3-962081DDBD8E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F45" i="1"/>
  <c r="F44" i="1"/>
  <c r="F43" i="1"/>
  <c r="F42" i="1"/>
  <c r="F41" i="1"/>
  <c r="F40" i="1"/>
  <c r="E33" i="1"/>
  <c r="F33" i="1"/>
  <c r="G33" i="1" s="1"/>
  <c r="H33" i="1"/>
  <c r="E34" i="1"/>
  <c r="F34" i="1"/>
  <c r="G34" i="1" s="1"/>
  <c r="H34" i="1"/>
  <c r="I34" i="1" s="1"/>
  <c r="E35" i="1"/>
  <c r="F35" i="1"/>
  <c r="G35" i="1" s="1"/>
  <c r="H35" i="1"/>
  <c r="E36" i="1"/>
  <c r="F36" i="1"/>
  <c r="H36" i="1"/>
  <c r="E37" i="1"/>
  <c r="F37" i="1"/>
  <c r="G37" i="1" s="1"/>
  <c r="H37" i="1"/>
  <c r="E38" i="1"/>
  <c r="F38" i="1"/>
  <c r="G38" i="1" s="1"/>
  <c r="H38" i="1"/>
  <c r="E39" i="1"/>
  <c r="F39" i="1"/>
  <c r="H39" i="1"/>
  <c r="E32" i="1"/>
  <c r="F32" i="1"/>
  <c r="H32" i="1"/>
  <c r="E25" i="1"/>
  <c r="F25" i="1"/>
  <c r="H25" i="1"/>
  <c r="E26" i="1"/>
  <c r="F26" i="1"/>
  <c r="H26" i="1"/>
  <c r="E27" i="1"/>
  <c r="F27" i="1"/>
  <c r="H27" i="1"/>
  <c r="E28" i="1"/>
  <c r="F28" i="1"/>
  <c r="H28" i="1"/>
  <c r="E29" i="1"/>
  <c r="F29" i="1"/>
  <c r="H29" i="1"/>
  <c r="E30" i="1"/>
  <c r="F30" i="1"/>
  <c r="H30" i="1"/>
  <c r="E31" i="1"/>
  <c r="F31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4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47" i="1"/>
  <c r="E48" i="1"/>
  <c r="E49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2" i="1"/>
  <c r="F2" i="1"/>
  <c r="H2" i="1"/>
  <c r="I36" i="1" l="1"/>
  <c r="I39" i="1"/>
  <c r="I33" i="1"/>
  <c r="G36" i="1"/>
  <c r="I38" i="1"/>
  <c r="I37" i="1"/>
  <c r="G39" i="1"/>
  <c r="I35" i="1"/>
  <c r="G32" i="1"/>
  <c r="I32" i="1"/>
  <c r="I26" i="1"/>
  <c r="G27" i="1"/>
  <c r="G26" i="1"/>
  <c r="I25" i="1"/>
  <c r="I30" i="1"/>
  <c r="G25" i="1"/>
  <c r="G30" i="1"/>
  <c r="I19" i="1"/>
  <c r="G29" i="1"/>
  <c r="I28" i="1"/>
  <c r="I13" i="1"/>
  <c r="G31" i="1"/>
  <c r="G28" i="1"/>
  <c r="I15" i="1"/>
  <c r="I3" i="1"/>
  <c r="I31" i="1"/>
  <c r="I29" i="1"/>
  <c r="I27" i="1"/>
  <c r="G6" i="1"/>
  <c r="G47" i="1"/>
  <c r="G4" i="1"/>
  <c r="G18" i="1"/>
  <c r="G17" i="1"/>
  <c r="G5" i="1"/>
  <c r="G16" i="1"/>
  <c r="I14" i="1"/>
  <c r="I24" i="1"/>
  <c r="I6" i="1"/>
  <c r="I17" i="1"/>
  <c r="I16" i="1"/>
  <c r="I21" i="1"/>
  <c r="I9" i="1"/>
  <c r="I20" i="1"/>
  <c r="I8" i="1"/>
  <c r="I12" i="1"/>
  <c r="I18" i="1"/>
  <c r="I23" i="1"/>
  <c r="I11" i="1"/>
  <c r="I5" i="1"/>
  <c r="I22" i="1"/>
  <c r="I10" i="1"/>
  <c r="I4" i="1"/>
  <c r="G19" i="1"/>
  <c r="G7" i="1"/>
  <c r="I7" i="1"/>
  <c r="G15" i="1"/>
  <c r="G3" i="1"/>
  <c r="G14" i="1"/>
  <c r="G13" i="1"/>
  <c r="G24" i="1"/>
  <c r="G12" i="1"/>
  <c r="G23" i="1"/>
  <c r="G11" i="1"/>
  <c r="G22" i="1"/>
  <c r="G10" i="1"/>
  <c r="G21" i="1"/>
  <c r="G9" i="1"/>
  <c r="G20" i="1"/>
  <c r="G8" i="1"/>
  <c r="G48" i="1"/>
  <c r="G60" i="1"/>
  <c r="G54" i="1"/>
  <c r="I60" i="1"/>
  <c r="G59" i="1"/>
  <c r="G65" i="1"/>
  <c r="G53" i="1"/>
  <c r="I59" i="1"/>
  <c r="G58" i="1"/>
  <c r="G52" i="1"/>
  <c r="I58" i="1"/>
  <c r="G61" i="1"/>
  <c r="G49" i="1"/>
  <c r="G55" i="1"/>
  <c r="I61" i="1"/>
  <c r="G64" i="1"/>
  <c r="I49" i="1"/>
  <c r="I48" i="1"/>
  <c r="I47" i="1"/>
  <c r="I63" i="1"/>
  <c r="I51" i="1"/>
  <c r="I62" i="1"/>
  <c r="G63" i="1"/>
  <c r="G51" i="1"/>
  <c r="G57" i="1"/>
  <c r="I50" i="1"/>
  <c r="G62" i="1"/>
  <c r="G50" i="1"/>
  <c r="G56" i="1"/>
  <c r="I57" i="1"/>
  <c r="I56" i="1"/>
  <c r="I55" i="1"/>
  <c r="I54" i="1"/>
  <c r="I65" i="1"/>
  <c r="I53" i="1"/>
  <c r="I64" i="1"/>
  <c r="I52" i="1"/>
  <c r="G2" i="1"/>
  <c r="I2" i="1"/>
</calcChain>
</file>

<file path=xl/sharedStrings.xml><?xml version="1.0" encoding="utf-8"?>
<sst xmlns="http://schemas.openxmlformats.org/spreadsheetml/2006/main" count="149" uniqueCount="61">
  <si>
    <t>States</t>
  </si>
  <si>
    <t>Icons</t>
  </si>
  <si>
    <t>Action</t>
  </si>
  <si>
    <t>StreamdeckKey</t>
  </si>
  <si>
    <t>ic_fluent_lightbulb_48_regular.svg</t>
  </si>
  <si>
    <t>ic_fluent_settings_48_regular.svg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</si>
  <si>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</si>
  <si>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</si>
  <si>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</si>
  <si>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</si>
  <si>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</si>
  <si>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</si>
  <si>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</si>
  <si>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</si>
  <si>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</si>
  <si>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</si>
  <si>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</si>
  <si>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</si>
  <si>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</si>
  <si>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</si>
  <si>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</si>
  <si>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</si>
  <si>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</si>
  <si>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</si>
  <si>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</si>
  <si>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</si>
  <si>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</si>
  <si>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</si>
  <si>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</si>
  <si>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</si>
  <si>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</si>
  <si>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</si>
  <si>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</si>
  <si>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</si>
  <si>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</si>
  <si>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>ic_fluent_speaker_2_48_regular.svg</t>
  </si>
  <si>
    <t>ic_fluent_speaker_off_48_regular.svg</t>
  </si>
  <si>
    <t xml:space="preserve">        HELP = InputEventMap.KEY_ASTERISK</t>
  </si>
  <si>
    <t>        DETECT_DEVICE = InputEventMap.KEY_1</t>
  </si>
  <si>
    <t>        SKIP_DEVICE = InputEventMap.KEY_2</t>
  </si>
  <si>
    <t>ic_fluent_phone_checkmark_20_regular.svg</t>
  </si>
  <si>
    <t>ic_fluent_phone_dismiss_24_regular.svg</t>
  </si>
  <si>
    <t>ic_fluent_keyboard_24_regular.svg</t>
  </si>
  <si>
    <t>ic_fluent_dismiss_48_regular.svg</t>
  </si>
  <si>
    <t>ic_fluent_speaker_box_24_regular.svg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</si>
  <si>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</si>
  <si>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</si>
  <si>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</si>
  <si>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</si>
  <si>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ic_fluent_usb_stick_24_regular.svg</t>
  </si>
  <si>
    <t>ic_fluent_pen_48_regular.svg</t>
  </si>
  <si>
    <t>ic_fluent_broom_32_regular.svg</t>
  </si>
  <si>
    <t>ic_fluent_arrow_autofit_up_24_regular.svg</t>
  </si>
  <si>
    <t>ic_fluent_arrow_autofit_down_24_regular.svg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</si>
  <si>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</si>
  <si>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</si>
  <si>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</si>
  <si>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</si>
  <si>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</si>
  <si>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</si>
  <si>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ic_fluent_record_48_regular.svg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</si>
</sst>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65"/>
  <sheetViews>
    <sheetView tabSelected="1" topLeftCell="A25" workbookViewId="0">
      <selection activeCell="D45" sqref="D45"/>
    </sheetView>
  </sheetViews>
  <sheetFormatPr defaultRowHeight="14.25" x14ac:dyDescent="0.45"/>
  <cols>
    <col min="1" max="1" width="17.73046875" bestFit="1" customWidth="1"/>
    <col min="2" max="2" width="35.265625" bestFit="1" customWidth="1"/>
    <col min="3" max="3" width="35.86328125" customWidth="1"/>
    <col min="4" max="5" width="13.1328125" customWidth="1"/>
    <col min="6" max="6" width="17.9296875" customWidth="1"/>
    <col min="7" max="7" width="22.53125" bestFit="1" customWidth="1"/>
    <col min="8" max="8" width="24.33203125" bestFit="1" customWidth="1"/>
    <col min="9" max="9" width="45.796875" bestFit="1" customWidth="1"/>
  </cols>
  <sheetData>
    <row r="1" spans="1:9" s="1" customFormat="1" x14ac:dyDescent="0.45">
      <c r="A1" s="1" t="s">
        <v>0</v>
      </c>
      <c r="B1" s="1" t="s">
        <v>2</v>
      </c>
      <c r="C1" s="1" t="s">
        <v>1</v>
      </c>
      <c r="D1" s="1" t="s">
        <v>25</v>
      </c>
      <c r="E1" s="1" t="s">
        <v>24</v>
      </c>
      <c r="F1" s="1" t="s">
        <v>3</v>
      </c>
      <c r="G1" s="1" t="s">
        <v>21</v>
      </c>
      <c r="H1" s="1" t="s">
        <v>23</v>
      </c>
      <c r="I1" s="1" t="s">
        <v>22</v>
      </c>
    </row>
    <row r="2" spans="1:9" x14ac:dyDescent="0.45">
      <c r="A2" t="s">
        <v>8</v>
      </c>
      <c r="B2" t="s">
        <v>6</v>
      </c>
      <c r="C2" t="s">
        <v>4</v>
      </c>
      <c r="D2">
        <v>4</v>
      </c>
      <c r="E2" t="str">
        <f t="shared" ref="E2:E65" si="0">LOWER(
  TRIM(
    SUBSTITUTE(
      LEFT(B2, FIND(" = InputEventMap", B2) - 1),
      CHAR(160),
      " "
    )
  )
)</f>
        <v>help</v>
      </c>
      <c r="F2" t="str">
        <f t="shared" ref="F2:F65" si="1">"KEY_" &amp; CHOOSE(
    D2+1,
    "00","01","02","03","04","05","06","07","08","09","0A","0B","0C","0D","0E"
)</f>
        <v>KEY_04</v>
      </c>
      <c r="G2" t="str">
        <f t="shared" ref="G2:G65" si="2">_xlfn.CONCAT(A2, "-", F2, "-", E2, ".png")</f>
        <v>FinalState-KEY_04-help.png</v>
      </c>
      <c r="H2" t="str">
        <f t="shared" ref="H2:H65" si="3">MID(B2, FIND("InputEventMap", B2), LEN(B2))</f>
        <v>InputEventMap.KEY_ASTERISK</v>
      </c>
      <c r="I2" t="str">
        <f>_xlfn.CONCAT("StreamdeckInput.", F2, ": ", H2, ",")</f>
        <v>StreamdeckInput.KEY_04: InputEventMap.KEY_ASTERISK,</v>
      </c>
    </row>
    <row r="3" spans="1:9" x14ac:dyDescent="0.45">
      <c r="A3" t="s">
        <v>8</v>
      </c>
      <c r="B3" t="s">
        <v>7</v>
      </c>
      <c r="C3" t="s">
        <v>5</v>
      </c>
      <c r="D3">
        <v>10</v>
      </c>
      <c r="E3" t="str">
        <f t="shared" si="0"/>
        <v>menu</v>
      </c>
      <c r="F3" t="str">
        <f t="shared" si="1"/>
        <v>KEY_0A</v>
      </c>
      <c r="G3" t="str">
        <f t="shared" si="2"/>
        <v>FinalState-KEY_0A-menu.png</v>
      </c>
      <c r="H3" t="str">
        <f t="shared" si="3"/>
        <v>InputEventMap.KEY_5</v>
      </c>
      <c r="I3" t="str">
        <f t="shared" ref="I3:I24" si="4">_xlfn.CONCAT("StreamdeckInput.", F3, ": ", H3, ",")</f>
        <v>StreamdeckInput.KEY_0A: InputEventMap.KEY_5,</v>
      </c>
    </row>
    <row r="4" spans="1:9" x14ac:dyDescent="0.45">
      <c r="A4" t="s">
        <v>17</v>
      </c>
      <c r="B4" t="s">
        <v>6</v>
      </c>
      <c r="C4" t="s">
        <v>4</v>
      </c>
      <c r="D4">
        <v>4</v>
      </c>
      <c r="E4" t="str">
        <f t="shared" si="0"/>
        <v>help</v>
      </c>
      <c r="F4" t="str">
        <f t="shared" si="1"/>
        <v>KEY_04</v>
      </c>
      <c r="G4" t="str">
        <f t="shared" si="2"/>
        <v>InitialiseAudio-KEY_04-help.png</v>
      </c>
      <c r="H4" t="str">
        <f t="shared" si="3"/>
        <v>InputEventMap.KEY_ASTERISK</v>
      </c>
      <c r="I4" t="str">
        <f t="shared" si="4"/>
        <v>StreamdeckInput.KEY_04: InputEventMap.KEY_ASTERISK,</v>
      </c>
    </row>
    <row r="5" spans="1:9" x14ac:dyDescent="0.45">
      <c r="A5" t="s">
        <v>17</v>
      </c>
      <c r="B5" t="s">
        <v>33</v>
      </c>
      <c r="C5" t="s">
        <v>35</v>
      </c>
      <c r="D5">
        <v>5</v>
      </c>
      <c r="E5" t="str">
        <f t="shared" si="0"/>
        <v>init_audio</v>
      </c>
      <c r="F5" t="str">
        <f t="shared" si="1"/>
        <v>KEY_05</v>
      </c>
      <c r="G5" t="str">
        <f t="shared" si="2"/>
        <v>InitialiseAudio-KEY_05-init_audio.png</v>
      </c>
      <c r="H5" t="str">
        <f t="shared" si="3"/>
        <v>InputEventMap.KEY_1</v>
      </c>
      <c r="I5" t="str">
        <f t="shared" si="4"/>
        <v>StreamdeckInput.KEY_05: InputEventMap.KEY_1,</v>
      </c>
    </row>
    <row r="6" spans="1:9" x14ac:dyDescent="0.45">
      <c r="A6" t="s">
        <v>17</v>
      </c>
      <c r="B6" t="s">
        <v>34</v>
      </c>
      <c r="C6" t="s">
        <v>36</v>
      </c>
      <c r="D6">
        <v>6</v>
      </c>
      <c r="E6" t="str">
        <f t="shared" si="0"/>
        <v>skip_audio</v>
      </c>
      <c r="F6" t="str">
        <f t="shared" si="1"/>
        <v>KEY_06</v>
      </c>
      <c r="G6" t="str">
        <f t="shared" si="2"/>
        <v>InitialiseAudio-KEY_06-skip_audio.png</v>
      </c>
      <c r="H6" t="str">
        <f t="shared" si="3"/>
        <v>InputEventMap.KEY_2</v>
      </c>
      <c r="I6" t="str">
        <f t="shared" si="4"/>
        <v>StreamdeckInput.KEY_06: InputEventMap.KEY_2,</v>
      </c>
    </row>
    <row r="7" spans="1:9" x14ac:dyDescent="0.45">
      <c r="A7" t="s">
        <v>15</v>
      </c>
      <c r="B7" t="s">
        <v>37</v>
      </c>
      <c r="C7" t="s">
        <v>4</v>
      </c>
      <c r="D7">
        <v>4</v>
      </c>
      <c r="E7" t="str">
        <f t="shared" si="0"/>
        <v>help</v>
      </c>
      <c r="F7" t="str">
        <f t="shared" si="1"/>
        <v>KEY_04</v>
      </c>
      <c r="G7" t="str">
        <f t="shared" si="2"/>
        <v>InitialiseEx1-KEY_04-help.png</v>
      </c>
      <c r="H7" t="str">
        <f t="shared" si="3"/>
        <v>InputEventMap.KEY_ASTERISK</v>
      </c>
      <c r="I7" t="str">
        <f t="shared" si="4"/>
        <v>StreamdeckInput.KEY_04: InputEventMap.KEY_ASTERISK,</v>
      </c>
    </row>
    <row r="8" spans="1:9" x14ac:dyDescent="0.45">
      <c r="A8" t="s">
        <v>15</v>
      </c>
      <c r="B8" t="s">
        <v>38</v>
      </c>
      <c r="C8" t="s">
        <v>40</v>
      </c>
      <c r="D8">
        <v>5</v>
      </c>
      <c r="E8" t="str">
        <f t="shared" si="0"/>
        <v>detect_device</v>
      </c>
      <c r="F8" t="str">
        <f t="shared" si="1"/>
        <v>KEY_05</v>
      </c>
      <c r="G8" t="str">
        <f t="shared" si="2"/>
        <v>InitialiseEx1-KEY_05-detect_device.png</v>
      </c>
      <c r="H8" t="str">
        <f t="shared" si="3"/>
        <v>InputEventMap.KEY_1</v>
      </c>
      <c r="I8" t="str">
        <f t="shared" si="4"/>
        <v>StreamdeckInput.KEY_05: InputEventMap.KEY_1,</v>
      </c>
    </row>
    <row r="9" spans="1:9" x14ac:dyDescent="0.45">
      <c r="A9" t="s">
        <v>15</v>
      </c>
      <c r="B9" t="s">
        <v>39</v>
      </c>
      <c r="C9" t="s">
        <v>41</v>
      </c>
      <c r="D9">
        <v>6</v>
      </c>
      <c r="E9" t="str">
        <f t="shared" si="0"/>
        <v>skip_device</v>
      </c>
      <c r="F9" t="str">
        <f t="shared" si="1"/>
        <v>KEY_06</v>
      </c>
      <c r="G9" t="str">
        <f t="shared" si="2"/>
        <v>InitialiseEx1-KEY_06-skip_device.png</v>
      </c>
      <c r="H9" t="str">
        <f t="shared" si="3"/>
        <v>InputEventMap.KEY_2</v>
      </c>
      <c r="I9" t="str">
        <f t="shared" si="4"/>
        <v>StreamdeckInput.KEY_06: InputEventMap.KEY_2,</v>
      </c>
    </row>
    <row r="10" spans="1:9" x14ac:dyDescent="0.45">
      <c r="A10" t="s">
        <v>16</v>
      </c>
      <c r="B10" t="s">
        <v>37</v>
      </c>
      <c r="C10" t="s">
        <v>4</v>
      </c>
      <c r="D10">
        <v>4</v>
      </c>
      <c r="E10" t="str">
        <f t="shared" si="0"/>
        <v>help</v>
      </c>
      <c r="F10" t="str">
        <f t="shared" si="1"/>
        <v>KEY_04</v>
      </c>
      <c r="G10" t="str">
        <f t="shared" si="2"/>
        <v>InitialiseEx2-KEY_04-help.png</v>
      </c>
      <c r="H10" t="str">
        <f t="shared" si="3"/>
        <v>InputEventMap.KEY_ASTERISK</v>
      </c>
      <c r="I10" t="str">
        <f t="shared" si="4"/>
        <v>StreamdeckInput.KEY_04: InputEventMap.KEY_ASTERISK,</v>
      </c>
    </row>
    <row r="11" spans="1:9" x14ac:dyDescent="0.45">
      <c r="A11" t="s">
        <v>16</v>
      </c>
      <c r="B11" t="s">
        <v>38</v>
      </c>
      <c r="C11" t="s">
        <v>40</v>
      </c>
      <c r="D11">
        <v>5</v>
      </c>
      <c r="E11" t="str">
        <f t="shared" si="0"/>
        <v>detect_device</v>
      </c>
      <c r="F11" t="str">
        <f t="shared" si="1"/>
        <v>KEY_05</v>
      </c>
      <c r="G11" t="str">
        <f t="shared" si="2"/>
        <v>InitialiseEx2-KEY_05-detect_device.png</v>
      </c>
      <c r="H11" t="str">
        <f t="shared" si="3"/>
        <v>InputEventMap.KEY_1</v>
      </c>
      <c r="I11" t="str">
        <f t="shared" si="4"/>
        <v>StreamdeckInput.KEY_05: InputEventMap.KEY_1,</v>
      </c>
    </row>
    <row r="12" spans="1:9" x14ac:dyDescent="0.45">
      <c r="A12" t="s">
        <v>16</v>
      </c>
      <c r="B12" t="s">
        <v>39</v>
      </c>
      <c r="C12" t="s">
        <v>41</v>
      </c>
      <c r="D12">
        <v>6</v>
      </c>
      <c r="E12" t="str">
        <f t="shared" si="0"/>
        <v>skip_device</v>
      </c>
      <c r="F12" t="str">
        <f t="shared" si="1"/>
        <v>KEY_06</v>
      </c>
      <c r="G12" t="str">
        <f t="shared" si="2"/>
        <v>InitialiseEx2-KEY_06-skip_device.png</v>
      </c>
      <c r="H12" t="str">
        <f t="shared" si="3"/>
        <v>InputEventMap.KEY_2</v>
      </c>
      <c r="I12" t="str">
        <f t="shared" si="4"/>
        <v>StreamdeckInput.KEY_06: InputEventMap.KEY_2,</v>
      </c>
    </row>
    <row r="13" spans="1:9" x14ac:dyDescent="0.45">
      <c r="A13" t="s">
        <v>12</v>
      </c>
      <c r="B13" t="s">
        <v>37</v>
      </c>
      <c r="C13" t="s">
        <v>4</v>
      </c>
      <c r="D13">
        <v>4</v>
      </c>
      <c r="E13" t="str">
        <f t="shared" si="0"/>
        <v>help</v>
      </c>
      <c r="F13" t="str">
        <f t="shared" si="1"/>
        <v>KEY_04</v>
      </c>
      <c r="G13" t="str">
        <f t="shared" si="2"/>
        <v>InitialiseHi1-KEY_04-help.png</v>
      </c>
      <c r="H13" t="str">
        <f t="shared" si="3"/>
        <v>InputEventMap.KEY_ASTERISK</v>
      </c>
      <c r="I13" t="str">
        <f t="shared" si="4"/>
        <v>StreamdeckInput.KEY_04: InputEventMap.KEY_ASTERISK,</v>
      </c>
    </row>
    <row r="14" spans="1:9" x14ac:dyDescent="0.45">
      <c r="A14" t="s">
        <v>12</v>
      </c>
      <c r="B14" t="s">
        <v>38</v>
      </c>
      <c r="C14" t="s">
        <v>42</v>
      </c>
      <c r="D14">
        <v>5</v>
      </c>
      <c r="E14" t="str">
        <f t="shared" si="0"/>
        <v>detect_device</v>
      </c>
      <c r="F14" t="str">
        <f t="shared" si="1"/>
        <v>KEY_05</v>
      </c>
      <c r="G14" t="str">
        <f t="shared" si="2"/>
        <v>InitialiseHi1-KEY_05-detect_device.png</v>
      </c>
      <c r="H14" t="str">
        <f t="shared" si="3"/>
        <v>InputEventMap.KEY_1</v>
      </c>
      <c r="I14" t="str">
        <f t="shared" si="4"/>
        <v>StreamdeckInput.KEY_05: InputEventMap.KEY_1,</v>
      </c>
    </row>
    <row r="15" spans="1:9" x14ac:dyDescent="0.45">
      <c r="A15" t="s">
        <v>12</v>
      </c>
      <c r="B15" t="s">
        <v>39</v>
      </c>
      <c r="C15" t="s">
        <v>43</v>
      </c>
      <c r="D15">
        <v>6</v>
      </c>
      <c r="E15" t="str">
        <f t="shared" si="0"/>
        <v>skip_device</v>
      </c>
      <c r="F15" t="str">
        <f t="shared" si="1"/>
        <v>KEY_06</v>
      </c>
      <c r="G15" t="str">
        <f t="shared" si="2"/>
        <v>InitialiseHi1-KEY_06-skip_device.png</v>
      </c>
      <c r="H15" t="str">
        <f t="shared" si="3"/>
        <v>InputEventMap.KEY_2</v>
      </c>
      <c r="I15" t="str">
        <f t="shared" si="4"/>
        <v>StreamdeckInput.KEY_06: InputEventMap.KEY_2,</v>
      </c>
    </row>
    <row r="16" spans="1:9" x14ac:dyDescent="0.45">
      <c r="A16" t="s">
        <v>13</v>
      </c>
      <c r="B16" t="s">
        <v>37</v>
      </c>
      <c r="C16" t="s">
        <v>4</v>
      </c>
      <c r="D16">
        <v>4</v>
      </c>
      <c r="E16" t="str">
        <f t="shared" si="0"/>
        <v>help</v>
      </c>
      <c r="F16" t="str">
        <f t="shared" si="1"/>
        <v>KEY_04</v>
      </c>
      <c r="G16" t="str">
        <f t="shared" si="2"/>
        <v>InitialiseHi2-KEY_04-help.png</v>
      </c>
      <c r="H16" t="str">
        <f t="shared" si="3"/>
        <v>InputEventMap.KEY_ASTERISK</v>
      </c>
      <c r="I16" t="str">
        <f t="shared" si="4"/>
        <v>StreamdeckInput.KEY_04: InputEventMap.KEY_ASTERISK,</v>
      </c>
    </row>
    <row r="17" spans="1:9" x14ac:dyDescent="0.45">
      <c r="A17" t="s">
        <v>13</v>
      </c>
      <c r="B17" t="s">
        <v>38</v>
      </c>
      <c r="C17" t="s">
        <v>42</v>
      </c>
      <c r="D17">
        <v>5</v>
      </c>
      <c r="E17" t="str">
        <f t="shared" si="0"/>
        <v>detect_device</v>
      </c>
      <c r="F17" t="str">
        <f t="shared" si="1"/>
        <v>KEY_05</v>
      </c>
      <c r="G17" t="str">
        <f t="shared" si="2"/>
        <v>InitialiseHi2-KEY_05-detect_device.png</v>
      </c>
      <c r="H17" t="str">
        <f t="shared" si="3"/>
        <v>InputEventMap.KEY_1</v>
      </c>
      <c r="I17" t="str">
        <f t="shared" si="4"/>
        <v>StreamdeckInput.KEY_05: InputEventMap.KEY_1,</v>
      </c>
    </row>
    <row r="18" spans="1:9" x14ac:dyDescent="0.45">
      <c r="A18" t="s">
        <v>13</v>
      </c>
      <c r="B18" t="s">
        <v>39</v>
      </c>
      <c r="C18" t="s">
        <v>43</v>
      </c>
      <c r="D18">
        <v>6</v>
      </c>
      <c r="E18" t="str">
        <f t="shared" si="0"/>
        <v>skip_device</v>
      </c>
      <c r="F18" t="str">
        <f t="shared" si="1"/>
        <v>KEY_06</v>
      </c>
      <c r="G18" t="str">
        <f t="shared" si="2"/>
        <v>InitialiseHi2-KEY_06-skip_device.png</v>
      </c>
      <c r="H18" t="str">
        <f t="shared" si="3"/>
        <v>InputEventMap.KEY_2</v>
      </c>
      <c r="I18" t="str">
        <f t="shared" si="4"/>
        <v>StreamdeckInput.KEY_06: InputEventMap.KEY_2,</v>
      </c>
    </row>
    <row r="19" spans="1:9" x14ac:dyDescent="0.45">
      <c r="A19" t="s">
        <v>14</v>
      </c>
      <c r="B19" t="s">
        <v>37</v>
      </c>
      <c r="C19" t="s">
        <v>4</v>
      </c>
      <c r="D19">
        <v>4</v>
      </c>
      <c r="E19" t="str">
        <f t="shared" si="0"/>
        <v>help</v>
      </c>
      <c r="F19" t="str">
        <f t="shared" si="1"/>
        <v>KEY_04</v>
      </c>
      <c r="G19" t="str">
        <f t="shared" si="2"/>
        <v>InitialiseHi3-KEY_04-help.png</v>
      </c>
      <c r="H19" t="str">
        <f t="shared" si="3"/>
        <v>InputEventMap.KEY_ASTERISK</v>
      </c>
      <c r="I19" t="str">
        <f t="shared" si="4"/>
        <v>StreamdeckInput.KEY_04: InputEventMap.KEY_ASTERISK,</v>
      </c>
    </row>
    <row r="20" spans="1:9" x14ac:dyDescent="0.45">
      <c r="A20" t="s">
        <v>14</v>
      </c>
      <c r="B20" t="s">
        <v>38</v>
      </c>
      <c r="C20" t="s">
        <v>42</v>
      </c>
      <c r="D20">
        <v>5</v>
      </c>
      <c r="E20" t="str">
        <f t="shared" si="0"/>
        <v>detect_device</v>
      </c>
      <c r="F20" t="str">
        <f t="shared" si="1"/>
        <v>KEY_05</v>
      </c>
      <c r="G20" t="str">
        <f t="shared" si="2"/>
        <v>InitialiseHi3-KEY_05-detect_device.png</v>
      </c>
      <c r="H20" t="str">
        <f t="shared" si="3"/>
        <v>InputEventMap.KEY_1</v>
      </c>
      <c r="I20" t="str">
        <f t="shared" si="4"/>
        <v>StreamdeckInput.KEY_05: InputEventMap.KEY_1,</v>
      </c>
    </row>
    <row r="21" spans="1:9" x14ac:dyDescent="0.45">
      <c r="A21" t="s">
        <v>14</v>
      </c>
      <c r="B21" t="s">
        <v>39</v>
      </c>
      <c r="C21" t="s">
        <v>43</v>
      </c>
      <c r="D21">
        <v>6</v>
      </c>
      <c r="E21" t="str">
        <f t="shared" si="0"/>
        <v>skip_device</v>
      </c>
      <c r="F21" t="str">
        <f t="shared" si="1"/>
        <v>KEY_06</v>
      </c>
      <c r="G21" t="str">
        <f t="shared" si="2"/>
        <v>InitialiseHi3-KEY_06-skip_device.png</v>
      </c>
      <c r="H21" t="str">
        <f t="shared" si="3"/>
        <v>InputEventMap.KEY_2</v>
      </c>
      <c r="I21" t="str">
        <f t="shared" si="4"/>
        <v>StreamdeckInput.KEY_06: InputEventMap.KEY_2,</v>
      </c>
    </row>
    <row r="22" spans="1:9" x14ac:dyDescent="0.45">
      <c r="A22" t="s">
        <v>11</v>
      </c>
      <c r="B22" t="s">
        <v>37</v>
      </c>
      <c r="C22" t="s">
        <v>4</v>
      </c>
      <c r="D22">
        <v>4</v>
      </c>
      <c r="E22" t="str">
        <f t="shared" si="0"/>
        <v>help</v>
      </c>
      <c r="F22" t="str">
        <f t="shared" si="1"/>
        <v>KEY_04</v>
      </c>
      <c r="G22" t="str">
        <f t="shared" si="2"/>
        <v>InitialiseLcl-KEY_04-help.png</v>
      </c>
      <c r="H22" t="str">
        <f t="shared" si="3"/>
        <v>InputEventMap.KEY_ASTERISK</v>
      </c>
      <c r="I22" t="str">
        <f t="shared" si="4"/>
        <v>StreamdeckInput.KEY_04: InputEventMap.KEY_ASTERISK,</v>
      </c>
    </row>
    <row r="23" spans="1:9" x14ac:dyDescent="0.45">
      <c r="A23" t="s">
        <v>11</v>
      </c>
      <c r="B23" t="s">
        <v>38</v>
      </c>
      <c r="C23" t="s">
        <v>44</v>
      </c>
      <c r="D23">
        <v>5</v>
      </c>
      <c r="E23" t="str">
        <f t="shared" si="0"/>
        <v>detect_device</v>
      </c>
      <c r="F23" t="str">
        <f t="shared" si="1"/>
        <v>KEY_05</v>
      </c>
      <c r="G23" t="str">
        <f t="shared" si="2"/>
        <v>InitialiseLcl-KEY_05-detect_device.png</v>
      </c>
      <c r="H23" t="str">
        <f t="shared" si="3"/>
        <v>InputEventMap.KEY_1</v>
      </c>
      <c r="I23" t="str">
        <f t="shared" si="4"/>
        <v>StreamdeckInput.KEY_05: InputEventMap.KEY_1,</v>
      </c>
    </row>
    <row r="24" spans="1:9" x14ac:dyDescent="0.45">
      <c r="A24" t="s">
        <v>11</v>
      </c>
      <c r="B24" t="s">
        <v>39</v>
      </c>
      <c r="C24" t="s">
        <v>43</v>
      </c>
      <c r="D24">
        <v>6</v>
      </c>
      <c r="E24" t="str">
        <f t="shared" si="0"/>
        <v>skip_device</v>
      </c>
      <c r="F24" t="str">
        <f t="shared" si="1"/>
        <v>KEY_06</v>
      </c>
      <c r="G24" t="str">
        <f t="shared" si="2"/>
        <v>InitialiseLcl-KEY_06-skip_device.png</v>
      </c>
      <c r="H24" t="str">
        <f t="shared" si="3"/>
        <v>InputEventMap.KEY_2</v>
      </c>
      <c r="I24" t="str">
        <f t="shared" si="4"/>
        <v>StreamdeckInput.KEY_06: InputEventMap.KEY_2,</v>
      </c>
    </row>
    <row r="25" spans="1:9" x14ac:dyDescent="0.45">
      <c r="A25" t="s">
        <v>18</v>
      </c>
      <c r="B25" t="s">
        <v>37</v>
      </c>
      <c r="C25" t="s">
        <v>4</v>
      </c>
      <c r="D25">
        <v>4</v>
      </c>
      <c r="E25" t="str">
        <f t="shared" ref="E25:E32" si="5">LOWER(
  TRIM(
    SUBSTITUTE(
      LEFT(B25, FIND(" = InputEventMap", B25) - 1),
      CHAR(160),
      " "
    )
  )
)</f>
        <v>help</v>
      </c>
      <c r="F25" t="str">
        <f t="shared" ref="F25:F32" si="6">"KEY_" &amp; CHOOSE(
    D25+1,
    "00","01","02","03","04","05","06","07","08","09","0A","0B","0C","0D","0E"
)</f>
        <v>KEY_04</v>
      </c>
      <c r="G25" t="str">
        <f t="shared" ref="G25:G32" si="7">_xlfn.CONCAT(A25, "-", F25, "-", E25, ".png")</f>
        <v>InitialiseRc1-KEY_04-help.png</v>
      </c>
      <c r="H25" t="str">
        <f t="shared" ref="H25:H32" si="8">MID(B25, FIND("InputEventMap", B25), LEN(B25))</f>
        <v>InputEventMap.KEY_ASTERISK</v>
      </c>
      <c r="I25" t="str">
        <f t="shared" ref="I25:I32" si="9">_xlfn.CONCAT("StreamdeckInput.", F25, ": ", H25, ",")</f>
        <v>StreamdeckInput.KEY_04: InputEventMap.KEY_ASTERISK,</v>
      </c>
    </row>
    <row r="26" spans="1:9" x14ac:dyDescent="0.45">
      <c r="A26" t="s">
        <v>18</v>
      </c>
      <c r="B26" t="s">
        <v>38</v>
      </c>
      <c r="C26" t="s">
        <v>49</v>
      </c>
      <c r="D26">
        <v>5</v>
      </c>
      <c r="E26" t="str">
        <f t="shared" si="5"/>
        <v>detect_device</v>
      </c>
      <c r="F26" t="str">
        <f t="shared" si="6"/>
        <v>KEY_05</v>
      </c>
      <c r="G26" t="str">
        <f t="shared" si="7"/>
        <v>InitialiseRc1-KEY_05-detect_device.png</v>
      </c>
      <c r="H26" t="str">
        <f t="shared" si="8"/>
        <v>InputEventMap.KEY_1</v>
      </c>
      <c r="I26" t="str">
        <f t="shared" si="9"/>
        <v>StreamdeckInput.KEY_05: InputEventMap.KEY_1,</v>
      </c>
    </row>
    <row r="27" spans="1:9" x14ac:dyDescent="0.45">
      <c r="A27" t="s">
        <v>18</v>
      </c>
      <c r="B27" t="s">
        <v>39</v>
      </c>
      <c r="C27" t="s">
        <v>43</v>
      </c>
      <c r="D27">
        <v>6</v>
      </c>
      <c r="E27" t="str">
        <f t="shared" si="5"/>
        <v>skip_device</v>
      </c>
      <c r="F27" t="str">
        <f t="shared" si="6"/>
        <v>KEY_06</v>
      </c>
      <c r="G27" t="str">
        <f t="shared" si="7"/>
        <v>InitialiseRc1-KEY_06-skip_device.png</v>
      </c>
      <c r="H27" t="str">
        <f t="shared" si="8"/>
        <v>InputEventMap.KEY_2</v>
      </c>
      <c r="I27" t="str">
        <f t="shared" si="9"/>
        <v>StreamdeckInput.KEY_06: InputEventMap.KEY_2,</v>
      </c>
    </row>
    <row r="28" spans="1:9" x14ac:dyDescent="0.45">
      <c r="A28" t="s">
        <v>18</v>
      </c>
      <c r="B28" t="s">
        <v>45</v>
      </c>
      <c r="C28" t="s">
        <v>50</v>
      </c>
      <c r="D28">
        <v>11</v>
      </c>
      <c r="E28" t="str">
        <f t="shared" si="5"/>
        <v>format_device</v>
      </c>
      <c r="F28" t="str">
        <f t="shared" si="6"/>
        <v>KEY_0B</v>
      </c>
      <c r="G28" t="str">
        <f t="shared" si="7"/>
        <v>InitialiseRc1-KEY_0B-format_device.png</v>
      </c>
      <c r="H28" t="str">
        <f t="shared" si="8"/>
        <v>InputEventMap.KEY_6</v>
      </c>
      <c r="I28" t="str">
        <f t="shared" si="9"/>
        <v>StreamdeckInput.KEY_0B: InputEventMap.KEY_6,</v>
      </c>
    </row>
    <row r="29" spans="1:9" x14ac:dyDescent="0.45">
      <c r="A29" t="s">
        <v>18</v>
      </c>
      <c r="B29" t="s">
        <v>46</v>
      </c>
      <c r="C29" t="s">
        <v>52</v>
      </c>
      <c r="D29">
        <v>12</v>
      </c>
      <c r="E29" t="str">
        <f t="shared" si="5"/>
        <v>mount_device</v>
      </c>
      <c r="F29" t="str">
        <f t="shared" si="6"/>
        <v>KEY_0C</v>
      </c>
      <c r="G29" t="str">
        <f t="shared" si="7"/>
        <v>InitialiseRc1-KEY_0C-mount_device.png</v>
      </c>
      <c r="H29" t="str">
        <f t="shared" si="8"/>
        <v>InputEventMap.KEY_7</v>
      </c>
      <c r="I29" t="str">
        <f t="shared" si="9"/>
        <v>StreamdeckInput.KEY_0C: InputEventMap.KEY_7,</v>
      </c>
    </row>
    <row r="30" spans="1:9" x14ac:dyDescent="0.45">
      <c r="A30" t="s">
        <v>18</v>
      </c>
      <c r="B30" t="s">
        <v>47</v>
      </c>
      <c r="C30" t="s">
        <v>53</v>
      </c>
      <c r="D30">
        <v>13</v>
      </c>
      <c r="E30" t="str">
        <f t="shared" si="5"/>
        <v>unmount_device</v>
      </c>
      <c r="F30" t="str">
        <f t="shared" si="6"/>
        <v>KEY_0D</v>
      </c>
      <c r="G30" t="str">
        <f t="shared" si="7"/>
        <v>InitialiseRc1-KEY_0D-unmount_device.png</v>
      </c>
      <c r="H30" t="str">
        <f t="shared" si="8"/>
        <v>InputEventMap.KEY_8</v>
      </c>
      <c r="I30" t="str">
        <f t="shared" si="9"/>
        <v>StreamdeckInput.KEY_0D: InputEventMap.KEY_8,</v>
      </c>
    </row>
    <row r="31" spans="1:9" x14ac:dyDescent="0.45">
      <c r="A31" t="s">
        <v>18</v>
      </c>
      <c r="B31" t="s">
        <v>48</v>
      </c>
      <c r="C31" t="s">
        <v>51</v>
      </c>
      <c r="D31">
        <v>14</v>
      </c>
      <c r="E31" t="str">
        <f t="shared" si="5"/>
        <v>clean_device</v>
      </c>
      <c r="F31" t="str">
        <f t="shared" si="6"/>
        <v>KEY_0E</v>
      </c>
      <c r="G31" t="str">
        <f t="shared" si="7"/>
        <v>InitialiseRc1-KEY_0E-clean_device.png</v>
      </c>
      <c r="H31" t="str">
        <f t="shared" si="8"/>
        <v>InputEventMap.KEY_9</v>
      </c>
      <c r="I31" t="str">
        <f t="shared" si="9"/>
        <v>StreamdeckInput.KEY_0E: InputEventMap.KEY_9,</v>
      </c>
    </row>
    <row r="32" spans="1:9" x14ac:dyDescent="0.45">
      <c r="A32" t="s">
        <v>19</v>
      </c>
      <c r="B32" t="s">
        <v>37</v>
      </c>
      <c r="C32" t="s">
        <v>4</v>
      </c>
      <c r="D32">
        <v>4</v>
      </c>
      <c r="E32" t="str">
        <f t="shared" si="5"/>
        <v>help</v>
      </c>
      <c r="F32" t="str">
        <f t="shared" si="6"/>
        <v>KEY_04</v>
      </c>
      <c r="G32" t="str">
        <f t="shared" si="7"/>
        <v>InitialiseRc2-KEY_04-help.png</v>
      </c>
      <c r="H32" t="str">
        <f t="shared" si="8"/>
        <v>InputEventMap.KEY_ASTERISK</v>
      </c>
      <c r="I32" t="str">
        <f t="shared" si="9"/>
        <v>StreamdeckInput.KEY_04: InputEventMap.KEY_ASTERISK,</v>
      </c>
    </row>
    <row r="33" spans="1:9" x14ac:dyDescent="0.45">
      <c r="A33" t="s">
        <v>19</v>
      </c>
      <c r="B33" t="s">
        <v>38</v>
      </c>
      <c r="C33" t="s">
        <v>49</v>
      </c>
      <c r="D33">
        <v>5</v>
      </c>
      <c r="E33" t="str">
        <f t="shared" ref="E33:E39" si="10">LOWER(
  TRIM(
    SUBSTITUTE(
      LEFT(B33, FIND(" = InputEventMap", B33) - 1),
      CHAR(160),
      " "
    )
  )
)</f>
        <v>detect_device</v>
      </c>
      <c r="F33" t="str">
        <f t="shared" ref="F33:F46" si="11">"KEY_" &amp; CHOOSE(
    D33+1,
    "00","01","02","03","04","05","06","07","08","09","0A","0B","0C","0D","0E"
)</f>
        <v>KEY_05</v>
      </c>
      <c r="G33" t="str">
        <f t="shared" ref="G33:G39" si="12">_xlfn.CONCAT(A33, "-", F33, "-", E33, ".png")</f>
        <v>InitialiseRc2-KEY_05-detect_device.png</v>
      </c>
      <c r="H33" t="str">
        <f t="shared" ref="H33:H39" si="13">MID(B33, FIND("InputEventMap", B33), LEN(B33))</f>
        <v>InputEventMap.KEY_1</v>
      </c>
      <c r="I33" t="str">
        <f t="shared" ref="I33:I39" si="14">_xlfn.CONCAT("StreamdeckInput.", F33, ": ", H33, ",")</f>
        <v>StreamdeckInput.KEY_05: InputEventMap.KEY_1,</v>
      </c>
    </row>
    <row r="34" spans="1:9" x14ac:dyDescent="0.45">
      <c r="A34" t="s">
        <v>19</v>
      </c>
      <c r="B34" t="s">
        <v>39</v>
      </c>
      <c r="C34" t="s">
        <v>43</v>
      </c>
      <c r="D34">
        <v>6</v>
      </c>
      <c r="E34" t="str">
        <f t="shared" si="10"/>
        <v>skip_device</v>
      </c>
      <c r="F34" t="str">
        <f t="shared" si="11"/>
        <v>KEY_06</v>
      </c>
      <c r="G34" t="str">
        <f t="shared" si="12"/>
        <v>InitialiseRc2-KEY_06-skip_device.png</v>
      </c>
      <c r="H34" t="str">
        <f t="shared" si="13"/>
        <v>InputEventMap.KEY_2</v>
      </c>
      <c r="I34" t="str">
        <f t="shared" si="14"/>
        <v>StreamdeckInput.KEY_06: InputEventMap.KEY_2,</v>
      </c>
    </row>
    <row r="35" spans="1:9" x14ac:dyDescent="0.45">
      <c r="A35" t="s">
        <v>19</v>
      </c>
      <c r="B35" t="s">
        <v>45</v>
      </c>
      <c r="C35" t="s">
        <v>50</v>
      </c>
      <c r="D35">
        <v>11</v>
      </c>
      <c r="E35" t="str">
        <f t="shared" si="10"/>
        <v>format_device</v>
      </c>
      <c r="F35" t="str">
        <f t="shared" si="11"/>
        <v>KEY_0B</v>
      </c>
      <c r="G35" t="str">
        <f t="shared" si="12"/>
        <v>InitialiseRc2-KEY_0B-format_device.png</v>
      </c>
      <c r="H35" t="str">
        <f t="shared" si="13"/>
        <v>InputEventMap.KEY_6</v>
      </c>
      <c r="I35" t="str">
        <f t="shared" si="14"/>
        <v>StreamdeckInput.KEY_0B: InputEventMap.KEY_6,</v>
      </c>
    </row>
    <row r="36" spans="1:9" x14ac:dyDescent="0.45">
      <c r="A36" t="s">
        <v>19</v>
      </c>
      <c r="B36" t="s">
        <v>46</v>
      </c>
      <c r="C36" t="s">
        <v>52</v>
      </c>
      <c r="D36">
        <v>12</v>
      </c>
      <c r="E36" t="str">
        <f t="shared" si="10"/>
        <v>mount_device</v>
      </c>
      <c r="F36" t="str">
        <f t="shared" si="11"/>
        <v>KEY_0C</v>
      </c>
      <c r="G36" t="str">
        <f t="shared" si="12"/>
        <v>InitialiseRc2-KEY_0C-mount_device.png</v>
      </c>
      <c r="H36" t="str">
        <f t="shared" si="13"/>
        <v>InputEventMap.KEY_7</v>
      </c>
      <c r="I36" t="str">
        <f t="shared" si="14"/>
        <v>StreamdeckInput.KEY_0C: InputEventMap.KEY_7,</v>
      </c>
    </row>
    <row r="37" spans="1:9" x14ac:dyDescent="0.45">
      <c r="A37" t="s">
        <v>19</v>
      </c>
      <c r="B37" t="s">
        <v>47</v>
      </c>
      <c r="C37" t="s">
        <v>53</v>
      </c>
      <c r="D37">
        <v>13</v>
      </c>
      <c r="E37" t="str">
        <f t="shared" si="10"/>
        <v>unmount_device</v>
      </c>
      <c r="F37" t="str">
        <f t="shared" si="11"/>
        <v>KEY_0D</v>
      </c>
      <c r="G37" t="str">
        <f t="shared" si="12"/>
        <v>InitialiseRc2-KEY_0D-unmount_device.png</v>
      </c>
      <c r="H37" t="str">
        <f t="shared" si="13"/>
        <v>InputEventMap.KEY_8</v>
      </c>
      <c r="I37" t="str">
        <f t="shared" si="14"/>
        <v>StreamdeckInput.KEY_0D: InputEventMap.KEY_8,</v>
      </c>
    </row>
    <row r="38" spans="1:9" x14ac:dyDescent="0.45">
      <c r="A38" t="s">
        <v>19</v>
      </c>
      <c r="B38" t="s">
        <v>48</v>
      </c>
      <c r="C38" t="s">
        <v>51</v>
      </c>
      <c r="D38">
        <v>14</v>
      </c>
      <c r="E38" t="str">
        <f t="shared" si="10"/>
        <v>clean_device</v>
      </c>
      <c r="F38" t="str">
        <f t="shared" si="11"/>
        <v>KEY_0E</v>
      </c>
      <c r="G38" t="str">
        <f t="shared" si="12"/>
        <v>InitialiseRc2-KEY_0E-clean_device.png</v>
      </c>
      <c r="H38" t="str">
        <f t="shared" si="13"/>
        <v>InputEventMap.KEY_9</v>
      </c>
      <c r="I38" t="str">
        <f t="shared" si="14"/>
        <v>StreamdeckInput.KEY_0E: InputEventMap.KEY_9,</v>
      </c>
    </row>
    <row r="39" spans="1:9" x14ac:dyDescent="0.45">
      <c r="A39" t="s">
        <v>9</v>
      </c>
      <c r="B39" t="s">
        <v>37</v>
      </c>
      <c r="C39" t="s">
        <v>4</v>
      </c>
      <c r="D39">
        <v>4</v>
      </c>
      <c r="E39" t="str">
        <f t="shared" si="10"/>
        <v>help</v>
      </c>
      <c r="F39" t="str">
        <f t="shared" si="11"/>
        <v>KEY_04</v>
      </c>
      <c r="G39" t="str">
        <f t="shared" si="12"/>
        <v>Main-KEY_04-help.png</v>
      </c>
      <c r="H39" t="str">
        <f t="shared" si="13"/>
        <v>InputEventMap.KEY_ASTERISK</v>
      </c>
      <c r="I39" t="str">
        <f t="shared" si="14"/>
        <v>StreamdeckInput.KEY_04: InputEventMap.KEY_ASTERISK,</v>
      </c>
    </row>
    <row r="40" spans="1:9" x14ac:dyDescent="0.45">
      <c r="A40" t="s">
        <v>9</v>
      </c>
      <c r="B40" t="s">
        <v>54</v>
      </c>
      <c r="C40" t="s">
        <v>60</v>
      </c>
      <c r="D40">
        <v>5</v>
      </c>
      <c r="F40" t="str">
        <f t="shared" si="11"/>
        <v>KEY_05</v>
      </c>
    </row>
    <row r="41" spans="1:9" x14ac:dyDescent="0.45">
      <c r="A41" t="s">
        <v>9</v>
      </c>
      <c r="B41" t="s">
        <v>55</v>
      </c>
      <c r="C41" t="s">
        <v>60</v>
      </c>
      <c r="D41">
        <v>6</v>
      </c>
      <c r="F41" t="str">
        <f t="shared" si="11"/>
        <v>KEY_06</v>
      </c>
    </row>
    <row r="42" spans="1:9" x14ac:dyDescent="0.45">
      <c r="A42" t="s">
        <v>9</v>
      </c>
      <c r="B42" t="s">
        <v>56</v>
      </c>
      <c r="C42" t="s">
        <v>60</v>
      </c>
      <c r="D42">
        <v>7</v>
      </c>
      <c r="F42" t="str">
        <f t="shared" si="11"/>
        <v>KEY_07</v>
      </c>
    </row>
    <row r="43" spans="1:9" x14ac:dyDescent="0.45">
      <c r="A43" t="s">
        <v>9</v>
      </c>
      <c r="B43" t="s">
        <v>57</v>
      </c>
      <c r="D43">
        <v>11</v>
      </c>
      <c r="F43" t="str">
        <f t="shared" si="11"/>
        <v>KEY_0B</v>
      </c>
    </row>
    <row r="44" spans="1:9" x14ac:dyDescent="0.45">
      <c r="A44" t="s">
        <v>9</v>
      </c>
      <c r="B44" t="s">
        <v>7</v>
      </c>
      <c r="D44">
        <v>10</v>
      </c>
      <c r="F44" t="str">
        <f t="shared" si="11"/>
        <v>KEY_0A</v>
      </c>
    </row>
    <row r="45" spans="1:9" x14ac:dyDescent="0.45">
      <c r="A45" t="s">
        <v>9</v>
      </c>
      <c r="B45" t="s">
        <v>58</v>
      </c>
      <c r="D45">
        <v>12</v>
      </c>
      <c r="F45" t="str">
        <f t="shared" si="11"/>
        <v>KEY_0C</v>
      </c>
    </row>
    <row r="46" spans="1:9" x14ac:dyDescent="0.45">
      <c r="A46" t="s">
        <v>9</v>
      </c>
      <c r="B46" t="s">
        <v>59</v>
      </c>
      <c r="D46">
        <v>15</v>
      </c>
      <c r="F46" t="e">
        <f t="shared" si="11"/>
        <v>#VALUE!</v>
      </c>
    </row>
    <row r="47" spans="1:9" x14ac:dyDescent="0.45">
      <c r="A47" t="s">
        <v>20</v>
      </c>
      <c r="E47" t="e">
        <f t="shared" si="0"/>
        <v>#VALUE!</v>
      </c>
      <c r="F47" t="str">
        <f t="shared" si="1"/>
        <v>KEY_00</v>
      </c>
      <c r="G47" t="e">
        <f t="shared" si="2"/>
        <v>#VALUE!</v>
      </c>
      <c r="H47" t="e">
        <f t="shared" si="3"/>
        <v>#VALUE!</v>
      </c>
      <c r="I47" t="e">
        <f t="shared" ref="I47:I65" si="15">_xlfn.CONCAT("StreamdeckInput.", F47, ": ", H47, ",")</f>
        <v>#VALUE!</v>
      </c>
    </row>
    <row r="48" spans="1:9" x14ac:dyDescent="0.45">
      <c r="A48" t="s">
        <v>30</v>
      </c>
      <c r="E48" t="e">
        <f t="shared" si="0"/>
        <v>#VALUE!</v>
      </c>
      <c r="F48" t="str">
        <f t="shared" si="1"/>
        <v>KEY_00</v>
      </c>
      <c r="G48" t="e">
        <f t="shared" si="2"/>
        <v>#VALUE!</v>
      </c>
      <c r="H48" t="e">
        <f t="shared" si="3"/>
        <v>#VALUE!</v>
      </c>
      <c r="I48" t="e">
        <f t="shared" si="15"/>
        <v>#VALUE!</v>
      </c>
    </row>
    <row r="49" spans="1:9" x14ac:dyDescent="0.45">
      <c r="A49" t="s">
        <v>31</v>
      </c>
      <c r="E49" t="e">
        <f t="shared" si="0"/>
        <v>#VALUE!</v>
      </c>
      <c r="F49" t="str">
        <f t="shared" si="1"/>
        <v>KEY_00</v>
      </c>
      <c r="G49" t="e">
        <f t="shared" si="2"/>
        <v>#VALUE!</v>
      </c>
      <c r="H49" t="e">
        <f t="shared" si="3"/>
        <v>#VALUE!</v>
      </c>
      <c r="I49" t="e">
        <f t="shared" si="15"/>
        <v>#VALUE!</v>
      </c>
    </row>
    <row r="50" spans="1:9" x14ac:dyDescent="0.45">
      <c r="A50" t="s">
        <v>26</v>
      </c>
      <c r="E50" t="e">
        <f t="shared" si="0"/>
        <v>#VALUE!</v>
      </c>
      <c r="F50" t="str">
        <f t="shared" si="1"/>
        <v>KEY_00</v>
      </c>
      <c r="G50" t="e">
        <f t="shared" si="2"/>
        <v>#VALUE!</v>
      </c>
      <c r="H50" t="e">
        <f t="shared" si="3"/>
        <v>#VALUE!</v>
      </c>
      <c r="I50" t="e">
        <f t="shared" si="15"/>
        <v>#VALUE!</v>
      </c>
    </row>
    <row r="51" spans="1:9" x14ac:dyDescent="0.45">
      <c r="A51" t="s">
        <v>27</v>
      </c>
      <c r="E51" t="e">
        <f t="shared" si="0"/>
        <v>#VALUE!</v>
      </c>
      <c r="F51" t="str">
        <f t="shared" si="1"/>
        <v>KEY_00</v>
      </c>
      <c r="G51" t="e">
        <f t="shared" si="2"/>
        <v>#VALUE!</v>
      </c>
      <c r="H51" t="e">
        <f t="shared" si="3"/>
        <v>#VALUE!</v>
      </c>
      <c r="I51" t="e">
        <f t="shared" si="15"/>
        <v>#VALUE!</v>
      </c>
    </row>
    <row r="52" spans="1:9" x14ac:dyDescent="0.45">
      <c r="A52" t="s">
        <v>29</v>
      </c>
      <c r="E52" t="e">
        <f t="shared" si="0"/>
        <v>#VALUE!</v>
      </c>
      <c r="F52" t="str">
        <f t="shared" si="1"/>
        <v>KEY_00</v>
      </c>
      <c r="G52" t="e">
        <f t="shared" si="2"/>
        <v>#VALUE!</v>
      </c>
      <c r="H52" t="e">
        <f t="shared" si="3"/>
        <v>#VALUE!</v>
      </c>
      <c r="I52" t="e">
        <f t="shared" si="15"/>
        <v>#VALUE!</v>
      </c>
    </row>
    <row r="53" spans="1:9" x14ac:dyDescent="0.45">
      <c r="A53" t="s">
        <v>28</v>
      </c>
      <c r="E53" t="e">
        <f t="shared" si="0"/>
        <v>#VALUE!</v>
      </c>
      <c r="F53" t="str">
        <f t="shared" si="1"/>
        <v>KEY_00</v>
      </c>
      <c r="G53" t="e">
        <f t="shared" si="2"/>
        <v>#VALUE!</v>
      </c>
      <c r="H53" t="e">
        <f t="shared" si="3"/>
        <v>#VALUE!</v>
      </c>
      <c r="I53" t="e">
        <f t="shared" si="15"/>
        <v>#VALUE!</v>
      </c>
    </row>
    <row r="54" spans="1:9" x14ac:dyDescent="0.45">
      <c r="A54" t="s">
        <v>32</v>
      </c>
      <c r="E54" t="e">
        <f t="shared" si="0"/>
        <v>#VALUE!</v>
      </c>
      <c r="F54" t="str">
        <f t="shared" si="1"/>
        <v>KEY_00</v>
      </c>
      <c r="G54" t="e">
        <f t="shared" si="2"/>
        <v>#VALUE!</v>
      </c>
      <c r="H54" t="e">
        <f t="shared" si="3"/>
        <v>#VALUE!</v>
      </c>
      <c r="I54" t="e">
        <f t="shared" si="15"/>
        <v>#VALUE!</v>
      </c>
    </row>
    <row r="55" spans="1:9" x14ac:dyDescent="0.45">
      <c r="A55" t="s">
        <v>10</v>
      </c>
      <c r="E55" t="e">
        <f t="shared" si="0"/>
        <v>#VALUE!</v>
      </c>
      <c r="F55" t="str">
        <f t="shared" si="1"/>
        <v>KEY_00</v>
      </c>
      <c r="G55" t="e">
        <f t="shared" si="2"/>
        <v>#VALUE!</v>
      </c>
      <c r="H55" t="e">
        <f t="shared" si="3"/>
        <v>#VALUE!</v>
      </c>
      <c r="I55" t="e">
        <f t="shared" si="15"/>
        <v>#VALUE!</v>
      </c>
    </row>
    <row r="56" spans="1:9" x14ac:dyDescent="0.45">
      <c r="E56" t="e">
        <f t="shared" si="0"/>
        <v>#VALUE!</v>
      </c>
      <c r="F56" t="str">
        <f t="shared" si="1"/>
        <v>KEY_00</v>
      </c>
      <c r="G56" t="e">
        <f t="shared" si="2"/>
        <v>#VALUE!</v>
      </c>
      <c r="H56" t="e">
        <f t="shared" si="3"/>
        <v>#VALUE!</v>
      </c>
      <c r="I56" t="e">
        <f t="shared" si="15"/>
        <v>#VALUE!</v>
      </c>
    </row>
    <row r="57" spans="1:9" x14ac:dyDescent="0.45">
      <c r="E57" t="e">
        <f t="shared" si="0"/>
        <v>#VALUE!</v>
      </c>
      <c r="F57" t="str">
        <f t="shared" si="1"/>
        <v>KEY_00</v>
      </c>
      <c r="G57" t="e">
        <f t="shared" si="2"/>
        <v>#VALUE!</v>
      </c>
      <c r="H57" t="e">
        <f t="shared" si="3"/>
        <v>#VALUE!</v>
      </c>
      <c r="I57" t="e">
        <f t="shared" si="15"/>
        <v>#VALUE!</v>
      </c>
    </row>
    <row r="58" spans="1:9" x14ac:dyDescent="0.45">
      <c r="E58" t="e">
        <f t="shared" si="0"/>
        <v>#VALUE!</v>
      </c>
      <c r="F58" t="str">
        <f t="shared" si="1"/>
        <v>KEY_00</v>
      </c>
      <c r="G58" t="e">
        <f t="shared" si="2"/>
        <v>#VALUE!</v>
      </c>
      <c r="H58" t="e">
        <f t="shared" si="3"/>
        <v>#VALUE!</v>
      </c>
      <c r="I58" t="e">
        <f t="shared" si="15"/>
        <v>#VALUE!</v>
      </c>
    </row>
    <row r="59" spans="1:9" x14ac:dyDescent="0.45">
      <c r="E59" t="e">
        <f t="shared" si="0"/>
        <v>#VALUE!</v>
      </c>
      <c r="F59" t="str">
        <f t="shared" si="1"/>
        <v>KEY_00</v>
      </c>
      <c r="G59" t="e">
        <f t="shared" si="2"/>
        <v>#VALUE!</v>
      </c>
      <c r="H59" t="e">
        <f t="shared" si="3"/>
        <v>#VALUE!</v>
      </c>
      <c r="I59" t="e">
        <f t="shared" si="15"/>
        <v>#VALUE!</v>
      </c>
    </row>
    <row r="60" spans="1:9" x14ac:dyDescent="0.45">
      <c r="E60" t="e">
        <f t="shared" si="0"/>
        <v>#VALUE!</v>
      </c>
      <c r="F60" t="str">
        <f t="shared" si="1"/>
        <v>KEY_00</v>
      </c>
      <c r="G60" t="e">
        <f t="shared" si="2"/>
        <v>#VALUE!</v>
      </c>
      <c r="H60" t="e">
        <f t="shared" si="3"/>
        <v>#VALUE!</v>
      </c>
      <c r="I60" t="e">
        <f t="shared" si="15"/>
        <v>#VALUE!</v>
      </c>
    </row>
    <row r="61" spans="1:9" x14ac:dyDescent="0.45">
      <c r="E61" t="e">
        <f t="shared" si="0"/>
        <v>#VALUE!</v>
      </c>
      <c r="F61" t="str">
        <f t="shared" si="1"/>
        <v>KEY_00</v>
      </c>
      <c r="G61" t="e">
        <f t="shared" si="2"/>
        <v>#VALUE!</v>
      </c>
      <c r="H61" t="e">
        <f t="shared" si="3"/>
        <v>#VALUE!</v>
      </c>
      <c r="I61" t="e">
        <f t="shared" si="15"/>
        <v>#VALUE!</v>
      </c>
    </row>
    <row r="62" spans="1:9" x14ac:dyDescent="0.45">
      <c r="E62" t="e">
        <f t="shared" si="0"/>
        <v>#VALUE!</v>
      </c>
      <c r="F62" t="str">
        <f t="shared" si="1"/>
        <v>KEY_00</v>
      </c>
      <c r="G62" t="e">
        <f t="shared" si="2"/>
        <v>#VALUE!</v>
      </c>
      <c r="H62" t="e">
        <f t="shared" si="3"/>
        <v>#VALUE!</v>
      </c>
      <c r="I62" t="e">
        <f t="shared" si="15"/>
        <v>#VALUE!</v>
      </c>
    </row>
    <row r="63" spans="1:9" x14ac:dyDescent="0.45">
      <c r="E63" t="e">
        <f t="shared" si="0"/>
        <v>#VALUE!</v>
      </c>
      <c r="F63" t="str">
        <f t="shared" si="1"/>
        <v>KEY_00</v>
      </c>
      <c r="G63" t="e">
        <f t="shared" si="2"/>
        <v>#VALUE!</v>
      </c>
      <c r="H63" t="e">
        <f t="shared" si="3"/>
        <v>#VALUE!</v>
      </c>
      <c r="I63" t="e">
        <f t="shared" si="15"/>
        <v>#VALUE!</v>
      </c>
    </row>
    <row r="64" spans="1:9" x14ac:dyDescent="0.45">
      <c r="E64" t="e">
        <f t="shared" si="0"/>
        <v>#VALUE!</v>
      </c>
      <c r="F64" t="str">
        <f t="shared" si="1"/>
        <v>KEY_00</v>
      </c>
      <c r="G64" t="e">
        <f t="shared" si="2"/>
        <v>#VALUE!</v>
      </c>
      <c r="H64" t="e">
        <f t="shared" si="3"/>
        <v>#VALUE!</v>
      </c>
      <c r="I64" t="e">
        <f t="shared" si="15"/>
        <v>#VALUE!</v>
      </c>
    </row>
    <row r="65" spans="5:9" x14ac:dyDescent="0.45">
      <c r="E65" t="e">
        <f t="shared" si="0"/>
        <v>#VALUE!</v>
      </c>
      <c r="F65" t="str">
        <f t="shared" si="1"/>
        <v>KEY_00</v>
      </c>
      <c r="G65" t="e">
        <f t="shared" si="2"/>
        <v>#VALUE!</v>
      </c>
      <c r="H65" t="e">
        <f t="shared" si="3"/>
        <v>#VALUE!</v>
      </c>
      <c r="I65" t="e">
        <f t="shared" si="15"/>
        <v>#VALUE!</v>
      </c>
    </row>
  </sheetData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Irene Hofstetter</cp:lastModifiedBy>
  <dcterms:created xsi:type="dcterms:W3CDTF">2025-12-25T10:48:21Z</dcterms:created>
  <dcterms:modified xsi:type="dcterms:W3CDTF">2025-12-25T13:39:18Z</dcterms:modified>
</cp:coreProperties>
</file>