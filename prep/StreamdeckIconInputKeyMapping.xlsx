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325AE261-9970-4833-9C9B-69C5B4FDEBBA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1" l="1"/>
  <c r="F57" i="1"/>
  <c r="E57" i="1"/>
  <c r="H41" i="1"/>
  <c r="F41" i="1"/>
  <c r="E41" i="1"/>
  <c r="H33" i="1"/>
  <c r="F33" i="1"/>
  <c r="E33" i="1"/>
  <c r="H29" i="1"/>
  <c r="F29" i="1"/>
  <c r="E29" i="1"/>
  <c r="H25" i="1"/>
  <c r="F25" i="1"/>
  <c r="E25" i="1"/>
  <c r="H21" i="1"/>
  <c r="F21" i="1"/>
  <c r="E21" i="1"/>
  <c r="H2" i="1"/>
  <c r="F2" i="1"/>
  <c r="E2" i="1"/>
  <c r="H17" i="1"/>
  <c r="F17" i="1"/>
  <c r="E17" i="1"/>
  <c r="H13" i="1"/>
  <c r="F13" i="1"/>
  <c r="E13" i="1"/>
  <c r="H9" i="1"/>
  <c r="F9" i="1"/>
  <c r="E9" i="1"/>
  <c r="H5" i="1"/>
  <c r="F5" i="1"/>
  <c r="E5" i="1"/>
  <c r="H59" i="1"/>
  <c r="F59" i="1"/>
  <c r="E59" i="1"/>
  <c r="H65" i="1"/>
  <c r="F65" i="1"/>
  <c r="E65" i="1"/>
  <c r="H69" i="1"/>
  <c r="F69" i="1"/>
  <c r="E69" i="1"/>
  <c r="H81" i="1"/>
  <c r="F81" i="1"/>
  <c r="E81" i="1"/>
  <c r="H87" i="1"/>
  <c r="F87" i="1"/>
  <c r="E87" i="1"/>
  <c r="H102" i="1"/>
  <c r="F102" i="1"/>
  <c r="E102" i="1"/>
  <c r="H117" i="1"/>
  <c r="F117" i="1"/>
  <c r="E117" i="1"/>
  <c r="H132" i="1"/>
  <c r="F132" i="1"/>
  <c r="E132" i="1"/>
  <c r="H142" i="1"/>
  <c r="F142" i="1"/>
  <c r="E142" i="1"/>
  <c r="I57" i="1" l="1"/>
  <c r="G57" i="1"/>
  <c r="I25" i="1"/>
  <c r="I21" i="1"/>
  <c r="I41" i="1"/>
  <c r="G41" i="1"/>
  <c r="I33" i="1"/>
  <c r="G33" i="1"/>
  <c r="I29" i="1"/>
  <c r="G29" i="1"/>
  <c r="G25" i="1"/>
  <c r="G21" i="1"/>
  <c r="I9" i="1"/>
  <c r="I13" i="1"/>
  <c r="I102" i="1"/>
  <c r="I81" i="1"/>
  <c r="I2" i="1"/>
  <c r="G2" i="1"/>
  <c r="I142" i="1"/>
  <c r="I17" i="1"/>
  <c r="G17" i="1"/>
  <c r="G13" i="1"/>
  <c r="G9" i="1"/>
  <c r="I5" i="1"/>
  <c r="G5" i="1"/>
  <c r="I59" i="1"/>
  <c r="G59" i="1"/>
  <c r="I65" i="1"/>
  <c r="G65" i="1"/>
  <c r="I69" i="1"/>
  <c r="G69" i="1"/>
  <c r="G81" i="1"/>
  <c r="I87" i="1"/>
  <c r="G87" i="1"/>
  <c r="G102" i="1"/>
  <c r="I132" i="1"/>
  <c r="I117" i="1"/>
  <c r="G117" i="1"/>
  <c r="G132" i="1"/>
  <c r="G142" i="1"/>
  <c r="H49" i="1" l="1"/>
  <c r="F49" i="1"/>
  <c r="E49" i="1"/>
  <c r="E66" i="1"/>
  <c r="F66" i="1"/>
  <c r="H66" i="1"/>
  <c r="E67" i="1"/>
  <c r="F67" i="1"/>
  <c r="H67" i="1"/>
  <c r="E68" i="1"/>
  <c r="F68" i="1"/>
  <c r="H68" i="1"/>
  <c r="E70" i="1"/>
  <c r="F70" i="1"/>
  <c r="H70" i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I75" i="1" s="1"/>
  <c r="E76" i="1"/>
  <c r="F76" i="1"/>
  <c r="H76" i="1"/>
  <c r="E77" i="1"/>
  <c r="F77" i="1"/>
  <c r="H77" i="1"/>
  <c r="E78" i="1"/>
  <c r="F78" i="1"/>
  <c r="H78" i="1"/>
  <c r="E79" i="1"/>
  <c r="F79" i="1"/>
  <c r="H79" i="1"/>
  <c r="E80" i="1"/>
  <c r="F80" i="1"/>
  <c r="H80" i="1"/>
  <c r="E82" i="1"/>
  <c r="F82" i="1"/>
  <c r="H82" i="1"/>
  <c r="E83" i="1"/>
  <c r="F83" i="1"/>
  <c r="H83" i="1"/>
  <c r="E84" i="1"/>
  <c r="F84" i="1"/>
  <c r="H84" i="1"/>
  <c r="E85" i="1"/>
  <c r="F85" i="1"/>
  <c r="H85" i="1"/>
  <c r="I85" i="1" s="1"/>
  <c r="E86" i="1"/>
  <c r="F86" i="1"/>
  <c r="H86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E98" i="1"/>
  <c r="F98" i="1"/>
  <c r="H98" i="1"/>
  <c r="I98" i="1" s="1"/>
  <c r="E99" i="1"/>
  <c r="F99" i="1"/>
  <c r="H99" i="1"/>
  <c r="E100" i="1"/>
  <c r="F100" i="1"/>
  <c r="H100" i="1"/>
  <c r="E101" i="1"/>
  <c r="F101" i="1"/>
  <c r="H101" i="1"/>
  <c r="I101" i="1" s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H109" i="1"/>
  <c r="E110" i="1"/>
  <c r="F110" i="1"/>
  <c r="H110" i="1"/>
  <c r="E111" i="1"/>
  <c r="F111" i="1"/>
  <c r="H111" i="1"/>
  <c r="E112" i="1"/>
  <c r="F112" i="1"/>
  <c r="H112" i="1"/>
  <c r="E113" i="1"/>
  <c r="F113" i="1"/>
  <c r="H113" i="1"/>
  <c r="E114" i="1"/>
  <c r="F114" i="1"/>
  <c r="H114" i="1"/>
  <c r="E115" i="1"/>
  <c r="F115" i="1"/>
  <c r="H115" i="1"/>
  <c r="E116" i="1"/>
  <c r="F116" i="1"/>
  <c r="H116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130" i="1"/>
  <c r="F130" i="1"/>
  <c r="H130" i="1"/>
  <c r="E131" i="1"/>
  <c r="F131" i="1"/>
  <c r="H131" i="1"/>
  <c r="E133" i="1"/>
  <c r="F133" i="1"/>
  <c r="H133" i="1"/>
  <c r="E134" i="1"/>
  <c r="F134" i="1"/>
  <c r="H134" i="1"/>
  <c r="E135" i="1"/>
  <c r="F135" i="1"/>
  <c r="H135" i="1"/>
  <c r="E136" i="1"/>
  <c r="F136" i="1"/>
  <c r="H136" i="1"/>
  <c r="E137" i="1"/>
  <c r="F137" i="1"/>
  <c r="H137" i="1"/>
  <c r="E138" i="1"/>
  <c r="F138" i="1"/>
  <c r="H138" i="1"/>
  <c r="E139" i="1"/>
  <c r="F139" i="1"/>
  <c r="H139" i="1"/>
  <c r="E140" i="1"/>
  <c r="F140" i="1"/>
  <c r="H140" i="1"/>
  <c r="E141" i="1"/>
  <c r="F141" i="1"/>
  <c r="H141" i="1"/>
  <c r="E143" i="1"/>
  <c r="F143" i="1"/>
  <c r="H143" i="1"/>
  <c r="E144" i="1"/>
  <c r="F144" i="1"/>
  <c r="H144" i="1"/>
  <c r="E145" i="1"/>
  <c r="F145" i="1"/>
  <c r="H145" i="1"/>
  <c r="E146" i="1"/>
  <c r="F146" i="1"/>
  <c r="H146" i="1"/>
  <c r="E147" i="1"/>
  <c r="F147" i="1"/>
  <c r="H147" i="1"/>
  <c r="E148" i="1"/>
  <c r="F148" i="1"/>
  <c r="H148" i="1"/>
  <c r="E149" i="1"/>
  <c r="F149" i="1"/>
  <c r="H149" i="1"/>
  <c r="E61" i="1"/>
  <c r="F61" i="1"/>
  <c r="H61" i="1"/>
  <c r="E62" i="1"/>
  <c r="F62" i="1"/>
  <c r="H62" i="1"/>
  <c r="E63" i="1"/>
  <c r="F63" i="1"/>
  <c r="H63" i="1"/>
  <c r="E64" i="1"/>
  <c r="F64" i="1"/>
  <c r="H64" i="1"/>
  <c r="F3" i="1"/>
  <c r="F4" i="1"/>
  <c r="F6" i="1"/>
  <c r="F7" i="1"/>
  <c r="F8" i="1"/>
  <c r="F10" i="1"/>
  <c r="F11" i="1"/>
  <c r="F12" i="1"/>
  <c r="F14" i="1"/>
  <c r="F15" i="1"/>
  <c r="F16" i="1"/>
  <c r="F18" i="1"/>
  <c r="F19" i="1"/>
  <c r="F20" i="1"/>
  <c r="F22" i="1"/>
  <c r="F23" i="1"/>
  <c r="F24" i="1"/>
  <c r="F26" i="1"/>
  <c r="F27" i="1"/>
  <c r="F28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50" i="1"/>
  <c r="F51" i="1"/>
  <c r="F52" i="1"/>
  <c r="F53" i="1"/>
  <c r="F54" i="1"/>
  <c r="F55" i="1"/>
  <c r="F56" i="1"/>
  <c r="F58" i="1"/>
  <c r="F60" i="1"/>
  <c r="H58" i="1"/>
  <c r="H60" i="1"/>
  <c r="E51" i="1"/>
  <c r="H51" i="1"/>
  <c r="E52" i="1"/>
  <c r="H52" i="1"/>
  <c r="E53" i="1"/>
  <c r="H53" i="1"/>
  <c r="E54" i="1"/>
  <c r="H54" i="1"/>
  <c r="E55" i="1"/>
  <c r="H55" i="1"/>
  <c r="E56" i="1"/>
  <c r="H56" i="1"/>
  <c r="E58" i="1"/>
  <c r="E60" i="1"/>
  <c r="E43" i="1"/>
  <c r="H43" i="1"/>
  <c r="E44" i="1"/>
  <c r="H44" i="1"/>
  <c r="E45" i="1"/>
  <c r="H45" i="1"/>
  <c r="E46" i="1"/>
  <c r="H46" i="1"/>
  <c r="E47" i="1"/>
  <c r="H47" i="1"/>
  <c r="E48" i="1"/>
  <c r="H48" i="1"/>
  <c r="E50" i="1"/>
  <c r="H50" i="1"/>
  <c r="E42" i="1"/>
  <c r="H42" i="1"/>
  <c r="E34" i="1"/>
  <c r="H34" i="1"/>
  <c r="E35" i="1"/>
  <c r="H35" i="1"/>
  <c r="E36" i="1"/>
  <c r="H36" i="1"/>
  <c r="E37" i="1"/>
  <c r="H37" i="1"/>
  <c r="E38" i="1"/>
  <c r="H38" i="1"/>
  <c r="E39" i="1"/>
  <c r="H39" i="1"/>
  <c r="E40" i="1"/>
  <c r="H40" i="1"/>
  <c r="H4" i="1"/>
  <c r="H6" i="1"/>
  <c r="H7" i="1"/>
  <c r="H8" i="1"/>
  <c r="H10" i="1"/>
  <c r="H11" i="1"/>
  <c r="H12" i="1"/>
  <c r="H14" i="1"/>
  <c r="H15" i="1"/>
  <c r="H16" i="1"/>
  <c r="H18" i="1"/>
  <c r="H19" i="1"/>
  <c r="H20" i="1"/>
  <c r="H22" i="1"/>
  <c r="H23" i="1"/>
  <c r="H24" i="1"/>
  <c r="H26" i="1"/>
  <c r="H27" i="1"/>
  <c r="H28" i="1"/>
  <c r="H30" i="1"/>
  <c r="H31" i="1"/>
  <c r="H32" i="1"/>
  <c r="E4" i="1"/>
  <c r="E6" i="1"/>
  <c r="E7" i="1"/>
  <c r="E8" i="1"/>
  <c r="E10" i="1"/>
  <c r="E11" i="1"/>
  <c r="E12" i="1"/>
  <c r="E14" i="1"/>
  <c r="E15" i="1"/>
  <c r="E16" i="1"/>
  <c r="E18" i="1"/>
  <c r="E19" i="1"/>
  <c r="E20" i="1"/>
  <c r="E22" i="1"/>
  <c r="E23" i="1"/>
  <c r="E24" i="1"/>
  <c r="E26" i="1"/>
  <c r="E27" i="1"/>
  <c r="E28" i="1"/>
  <c r="E30" i="1"/>
  <c r="E31" i="1"/>
  <c r="E32" i="1"/>
  <c r="E3" i="1"/>
  <c r="H3" i="1"/>
  <c r="I80" i="1" l="1"/>
  <c r="G130" i="1"/>
  <c r="I103" i="1"/>
  <c r="G128" i="1"/>
  <c r="G127" i="1"/>
  <c r="G120" i="1"/>
  <c r="G103" i="1"/>
  <c r="G106" i="1"/>
  <c r="I49" i="1"/>
  <c r="I73" i="1"/>
  <c r="I104" i="1"/>
  <c r="G125" i="1"/>
  <c r="I77" i="1"/>
  <c r="G49" i="1"/>
  <c r="I116" i="1"/>
  <c r="I115" i="1"/>
  <c r="I138" i="1"/>
  <c r="I112" i="1"/>
  <c r="I72" i="1"/>
  <c r="I89" i="1"/>
  <c r="G146" i="1"/>
  <c r="I94" i="1"/>
  <c r="G145" i="1"/>
  <c r="G104" i="1"/>
  <c r="G139" i="1"/>
  <c r="I129" i="1"/>
  <c r="G118" i="1"/>
  <c r="I67" i="1"/>
  <c r="I127" i="1"/>
  <c r="G148" i="1"/>
  <c r="I93" i="1"/>
  <c r="G78" i="1"/>
  <c r="I130" i="1"/>
  <c r="I79" i="1"/>
  <c r="I124" i="1"/>
  <c r="G74" i="1"/>
  <c r="G115" i="1"/>
  <c r="G109" i="1"/>
  <c r="I136" i="1"/>
  <c r="G105" i="1"/>
  <c r="I100" i="1"/>
  <c r="I96" i="1"/>
  <c r="I92" i="1"/>
  <c r="I78" i="1"/>
  <c r="G147" i="1"/>
  <c r="G133" i="1"/>
  <c r="G111" i="1"/>
  <c r="G140" i="1"/>
  <c r="G136" i="1"/>
  <c r="I147" i="1"/>
  <c r="G149" i="1"/>
  <c r="G129" i="1"/>
  <c r="G134" i="1"/>
  <c r="I141" i="1"/>
  <c r="I137" i="1"/>
  <c r="I133" i="1"/>
  <c r="I122" i="1"/>
  <c r="I128" i="1"/>
  <c r="I125" i="1"/>
  <c r="G99" i="1"/>
  <c r="G110" i="1"/>
  <c r="G116" i="1"/>
  <c r="G143" i="1"/>
  <c r="I83" i="1"/>
  <c r="I66" i="1"/>
  <c r="G114" i="1"/>
  <c r="G91" i="1"/>
  <c r="I145" i="1"/>
  <c r="G122" i="1"/>
  <c r="I99" i="1"/>
  <c r="I91" i="1"/>
  <c r="I106" i="1"/>
  <c r="G107" i="1"/>
  <c r="I144" i="1"/>
  <c r="I108" i="1"/>
  <c r="I88" i="1"/>
  <c r="I111" i="1"/>
  <c r="I149" i="1"/>
  <c r="I126" i="1"/>
  <c r="I123" i="1"/>
  <c r="G141" i="1"/>
  <c r="G138" i="1"/>
  <c r="G119" i="1"/>
  <c r="G113" i="1"/>
  <c r="G108" i="1"/>
  <c r="I110" i="1"/>
  <c r="G121" i="1"/>
  <c r="I140" i="1"/>
  <c r="I120" i="1"/>
  <c r="I148" i="1"/>
  <c r="G123" i="1"/>
  <c r="I74" i="1"/>
  <c r="G135" i="1"/>
  <c r="G131" i="1"/>
  <c r="G86" i="1"/>
  <c r="G70" i="1"/>
  <c r="G137" i="1"/>
  <c r="G98" i="1"/>
  <c r="G94" i="1"/>
  <c r="G90" i="1"/>
  <c r="G77" i="1"/>
  <c r="I134" i="1"/>
  <c r="G85" i="1"/>
  <c r="G73" i="1"/>
  <c r="I139" i="1"/>
  <c r="G112" i="1"/>
  <c r="G80" i="1"/>
  <c r="I109" i="1"/>
  <c r="G101" i="1"/>
  <c r="G97" i="1"/>
  <c r="G93" i="1"/>
  <c r="G76" i="1"/>
  <c r="I114" i="1"/>
  <c r="G89" i="1"/>
  <c r="G84" i="1"/>
  <c r="G72" i="1"/>
  <c r="G144" i="1"/>
  <c r="G67" i="1"/>
  <c r="I143" i="1"/>
  <c r="I135" i="1"/>
  <c r="I118" i="1"/>
  <c r="I113" i="1"/>
  <c r="I105" i="1"/>
  <c r="G100" i="1"/>
  <c r="G96" i="1"/>
  <c r="G92" i="1"/>
  <c r="G79" i="1"/>
  <c r="G75" i="1"/>
  <c r="I146" i="1"/>
  <c r="G124" i="1"/>
  <c r="G88" i="1"/>
  <c r="G71" i="1"/>
  <c r="G126" i="1"/>
  <c r="I121" i="1"/>
  <c r="I86" i="1"/>
  <c r="G83" i="1"/>
  <c r="I70" i="1"/>
  <c r="G66" i="1"/>
  <c r="I97" i="1"/>
  <c r="G95" i="1"/>
  <c r="I90" i="1"/>
  <c r="I84" i="1"/>
  <c r="G82" i="1"/>
  <c r="I76" i="1"/>
  <c r="I71" i="1"/>
  <c r="G68" i="1"/>
  <c r="I131" i="1"/>
  <c r="I119" i="1"/>
  <c r="I107" i="1"/>
  <c r="I95" i="1"/>
  <c r="I82" i="1"/>
  <c r="I68" i="1"/>
  <c r="G48" i="1"/>
  <c r="G62" i="1"/>
  <c r="I61" i="1"/>
  <c r="I64" i="1"/>
  <c r="I62" i="1"/>
  <c r="G63" i="1"/>
  <c r="G64" i="1"/>
  <c r="G61" i="1"/>
  <c r="I58" i="1"/>
  <c r="G43" i="1"/>
  <c r="I51" i="1"/>
  <c r="G47" i="1"/>
  <c r="I54" i="1"/>
  <c r="I53" i="1"/>
  <c r="G52" i="1"/>
  <c r="G51" i="1"/>
  <c r="G45" i="1"/>
  <c r="I63" i="1"/>
  <c r="I60" i="1"/>
  <c r="G53" i="1"/>
  <c r="I52" i="1"/>
  <c r="G44" i="1"/>
  <c r="G56" i="1"/>
  <c r="I55" i="1"/>
  <c r="G54" i="1"/>
  <c r="G58" i="1"/>
  <c r="G60" i="1"/>
  <c r="I44" i="1"/>
  <c r="G55" i="1"/>
  <c r="I56" i="1"/>
  <c r="I46" i="1"/>
  <c r="I50" i="1"/>
  <c r="I43" i="1"/>
  <c r="G46" i="1"/>
  <c r="I48" i="1"/>
  <c r="I47" i="1"/>
  <c r="G50" i="1"/>
  <c r="I45" i="1"/>
  <c r="G42" i="1"/>
  <c r="I42" i="1"/>
  <c r="I35" i="1"/>
  <c r="G36" i="1"/>
  <c r="G35" i="1"/>
  <c r="I34" i="1"/>
  <c r="I39" i="1"/>
  <c r="G34" i="1"/>
  <c r="G39" i="1"/>
  <c r="I26" i="1"/>
  <c r="G38" i="1"/>
  <c r="I37" i="1"/>
  <c r="I18" i="1"/>
  <c r="G40" i="1"/>
  <c r="G37" i="1"/>
  <c r="I20" i="1"/>
  <c r="I4" i="1"/>
  <c r="I40" i="1"/>
  <c r="I38" i="1"/>
  <c r="I36" i="1"/>
  <c r="G8" i="1"/>
  <c r="G6" i="1"/>
  <c r="G24" i="1"/>
  <c r="G23" i="1"/>
  <c r="G7" i="1"/>
  <c r="G22" i="1"/>
  <c r="I19" i="1"/>
  <c r="I32" i="1"/>
  <c r="I8" i="1"/>
  <c r="I23" i="1"/>
  <c r="I22" i="1"/>
  <c r="I28" i="1"/>
  <c r="I12" i="1"/>
  <c r="I27" i="1"/>
  <c r="I11" i="1"/>
  <c r="I16" i="1"/>
  <c r="I24" i="1"/>
  <c r="I31" i="1"/>
  <c r="I15" i="1"/>
  <c r="I7" i="1"/>
  <c r="I30" i="1"/>
  <c r="I14" i="1"/>
  <c r="I6" i="1"/>
  <c r="G26" i="1"/>
  <c r="G10" i="1"/>
  <c r="I10" i="1"/>
  <c r="G20" i="1"/>
  <c r="G4" i="1"/>
  <c r="G19" i="1"/>
  <c r="G18" i="1"/>
  <c r="G32" i="1"/>
  <c r="G16" i="1"/>
  <c r="G31" i="1"/>
  <c r="G15" i="1"/>
  <c r="G30" i="1"/>
  <c r="G14" i="1"/>
  <c r="G28" i="1"/>
  <c r="G12" i="1"/>
  <c r="G27" i="1"/>
  <c r="G11" i="1"/>
  <c r="G3" i="1"/>
  <c r="I3" i="1"/>
</calcChain>
</file>

<file path=xl/sharedStrings.xml><?xml version="1.0" encoding="utf-8"?>
<sst xmlns="http://schemas.openxmlformats.org/spreadsheetml/2006/main" count="453" uniqueCount="159">
  <si>
    <t>States</t>
  </si>
  <si>
    <t>Icons</t>
  </si>
  <si>
    <t>Action</t>
  </si>
  <si>
    <t>StreamdeckKey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</si>
  <si>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</si>
  <si>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</si>
  <si>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</si>
  <si>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</si>
  <si>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</si>
  <si>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</si>
  <si>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</si>
  <si>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</si>
  <si>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</si>
  <si>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</si>
  <si>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</si>
  <si>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</si>
  <si>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</si>
  <si>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</si>
  <si>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</si>
  <si>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</si>
  <si>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</si>
  <si>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</si>
  <si>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</si>
  <si>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</si>
  <si>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</si>
  <si>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</si>
  <si>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</si>
  <si>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</si>
  <si>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</si>
  <si>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</si>
  <si>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</si>
  <si>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</si>
  <si>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</si>
  <si>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</si>
  <si>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</si>
  <si>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</si>
  <si>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</si>
  <si>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</si>
  <si>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</si>
  <si>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</si>
  <si>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</si>
  <si>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</si>
  <si>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</si>
  <si>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</si>
  <si>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</si>
  <si>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</si>
  <si>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</si>
  <si>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</si>
  <si>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</si>
  <si>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</si>
  <si>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</si>
  <si>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</si>
  <si>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</si>
  <si>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</si>
  <si>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</si>
  <si>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</si>
  <si>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</si>
  <si>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</si>
  <si>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</si>
  <si>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</si>
  <si>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</si>
  <si>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</si>
  <si>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</si>
  <si>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</si>
  <si>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</si>
  <si>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</si>
  <si>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</si>
  <si>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</si>
  <si>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</si>
  <si>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</si>
  <si>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</si>
  <si>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</si>
  <si>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</si>
  <si>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</si>
  <si>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</si>
  <si>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</si>
  <si>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</si>
  <si>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</si>
  <si>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</si>
  <si>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</si>
  <si>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</si>
  <si>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</si>
  <si>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</si>
  <si>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</si>
  <si>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</si>
  <si>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</si>
  <si>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</si>
  <si>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</si>
  <si>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 xml:space="preserve">        SCREEN = InputEventMap.KEY_ASTERISK</t>
  </si>
  <si>
    <t>ic_fluent_lightbulb_48_regular.png</t>
  </si>
  <si>
    <t>ic_fluent_settings_48_regular.png</t>
  </si>
  <si>
    <t>ic_fluent_speaker_2_48_regular.png</t>
  </si>
  <si>
    <t>ic_fluent_skip_forward_tab_24_regular.png</t>
  </si>
  <si>
    <t>ic_fluent_search_48_regular.png</t>
  </si>
  <si>
    <t>ic_fluent_database_warning_20_regular.png</t>
  </si>
  <si>
    <t>ic_fluent_database_checkmark_24_regular.png</t>
  </si>
  <si>
    <t>ic_fluent_database_arrow_down_20_regular.png</t>
  </si>
  <si>
    <t>ic_fluent_eraser_24_regular.png</t>
  </si>
  <si>
    <t>ic_fluent_home_48_regular.png</t>
  </si>
  <si>
    <t>ic_fluent_home_48_regular_pink.png</t>
  </si>
  <si>
    <t>        SCREEN = InputEventMap.KEY_ASTERISK</t>
  </si>
  <si>
    <t>ic_fluent_speaker_2_48_regular_pink.png</t>
  </si>
  <si>
    <t>ic_fluent_phone_48_regular_blue.png</t>
  </si>
  <si>
    <t>ic_fluent_phone_48_regular_green.png</t>
  </si>
  <si>
    <t>ic_fluent_power_28_regular.png</t>
  </si>
  <si>
    <t>ic_fluent_power_28_regular_pink.png</t>
  </si>
  <si>
    <t>ic_fluent_keyboard_24_regular_yellow.png</t>
  </si>
  <si>
    <t>ic_fluent_app_folder_48_regular_yellow.png</t>
  </si>
  <si>
    <t>ic_fluent_music_note_2_24_regular_yellow.png</t>
  </si>
  <si>
    <t>ic_fluent_speaker_box_24_regular_grey.png</t>
  </si>
  <si>
    <t>ic_fluent_usb_stick_24_regular_red.png</t>
  </si>
  <si>
    <t>ic_fluent_usb_stick_24_regular_orange.png</t>
  </si>
  <si>
    <t>ic_fluent_record_48_regular.png</t>
  </si>
  <si>
    <t>ic_fluent_play_48_regular.png</t>
  </si>
  <si>
    <t>ic_fluent_text_edit_style_character_a_32_regular.png</t>
  </si>
  <si>
    <t>ic_fluent_record_48_regular_pink.png</t>
  </si>
  <si>
    <t>ic_fluent_stop_24_regular.png</t>
  </si>
  <si>
    <t>ic_fluent_bookmark_add_24_regular.png</t>
  </si>
  <si>
    <t>ic_fluent_mic_off_48_regular.png</t>
  </si>
  <si>
    <t>ic_fluent_text_grammar_error_20_regular.png</t>
  </si>
  <si>
    <t>ic_fluent_play_48_regular_pink.png</t>
  </si>
  <si>
    <t>ic_fluent_pause_48_regular.png</t>
  </si>
  <si>
    <t>ic_fluent_next_48_regular.png</t>
  </si>
  <si>
    <t>ic_fluent_skip_forward_30_48_regular.png</t>
  </si>
  <si>
    <t>ic_fluent_skip_forward_bookmark_regular.png</t>
  </si>
  <si>
    <t>ic_fluent_skip_back_bookmark_regular.png</t>
  </si>
  <si>
    <t>ic_fluent_previous_48_regular.png</t>
  </si>
  <si>
    <t>ic_fluent_next_frame_24_regular.png</t>
  </si>
  <si>
    <t>ic_fluent_previous_frame_24_regular.png</t>
  </si>
  <si>
    <t>ic_fluent_skip_back_10_48_regular.png</t>
  </si>
  <si>
    <t>ic_fluent_globe_48_regular_pink.png</t>
  </si>
  <si>
    <t>gb.png</t>
  </si>
  <si>
    <t>de.png</t>
  </si>
  <si>
    <t>fr.png</t>
  </si>
  <si>
    <t>it.png</t>
  </si>
  <si>
    <t>ic_fluent_calendar_edit_32_regular_pink.png</t>
  </si>
  <si>
    <t>ic_fluent_number_circle_0_48_regular.png</t>
  </si>
  <si>
    <t>ic_fluent_number_circle_1_48_regular.png</t>
  </si>
  <si>
    <t>ic_fluent_number_circle_2_48_regular.png</t>
  </si>
  <si>
    <t>ic_fluent_number_circle_3_48_regular.png</t>
  </si>
  <si>
    <t>ic_fluent_number_circle_4_48_regular.png</t>
  </si>
  <si>
    <t>ic_fluent_number_circle_5_48_regular.png</t>
  </si>
  <si>
    <t>ic_fluent_number_circle_6_48_regular.png</t>
  </si>
  <si>
    <t>ic_fluent_number_circle_7_48_regular.png</t>
  </si>
  <si>
    <t>ic_fluent_number_circle_8_48_regular.png</t>
  </si>
  <si>
    <t>ic_fluent_number_circle_9_48_regular.png</t>
  </si>
  <si>
    <t>ic_fluent_backspace_24_regular.png</t>
  </si>
  <si>
    <t>ic_fluent_arrow_enter_left_24_regular.png</t>
  </si>
  <si>
    <t>ic_fluent_keyboard_tab_24_regular.png</t>
  </si>
  <si>
    <t>ic_fluent_text_edit_style_character_a_32_regular_pink.png</t>
  </si>
  <si>
    <t>ic_fluent_time_picker_24_regular_pink.png</t>
  </si>
  <si>
    <t>ic_fluent_usb_stick_24_regular_pink.png</t>
  </si>
  <si>
    <t>ic_fluent_plug_disconnected_48_regular.png</t>
  </si>
  <si>
    <t>ic_fluent_settings_48_regular_pink.png</t>
  </si>
  <si>
    <t>ic_fluent_globe_48_regular.png</t>
  </si>
  <si>
    <t>ic_fluent_usb_stick_24_regular.png</t>
  </si>
  <si>
    <t>ic_fluent_calendar_edit_32_regular.png</t>
  </si>
  <si>
    <t>ic_fluent_time_picker_24_regular.png</t>
  </si>
  <si>
    <t>        DELETE_LAST_TAKE = InputEventMap.KEY_7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</si>
</sst>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49"/>
  <sheetViews>
    <sheetView tabSelected="1" topLeftCell="C38" workbookViewId="0">
      <selection activeCell="I57" sqref="I57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6.265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23</v>
      </c>
      <c r="E1" s="1" t="s">
        <v>22</v>
      </c>
      <c r="F1" s="1" t="s">
        <v>3</v>
      </c>
      <c r="G1" s="1" t="s">
        <v>19</v>
      </c>
      <c r="H1" s="1" t="s">
        <v>21</v>
      </c>
      <c r="I1" s="1" t="s">
        <v>20</v>
      </c>
    </row>
    <row r="2" spans="1:9" x14ac:dyDescent="0.45">
      <c r="A2" t="s">
        <v>6</v>
      </c>
      <c r="B2" t="s">
        <v>100</v>
      </c>
      <c r="C2" t="s">
        <v>105</v>
      </c>
      <c r="D2">
        <v>0</v>
      </c>
      <c r="E2" t="str">
        <f t="shared" ref="E2" si="0">LOWER(
  TRIM(
    SUBSTITUTE(
      LEFT(B2, FIND(" = InputEventMap", B2) - 1),
      CHAR(160),
      " "
    )
  )
)</f>
        <v>screen</v>
      </c>
      <c r="F2" t="str">
        <f>"KEY_" &amp; CHOOSE(
    D2+1,
    "00","01","02","03","04","05","06","07","08","09","0A","0B","0C","0D","0E"
)</f>
        <v>KEY_00</v>
      </c>
      <c r="G2" t="str">
        <f t="shared" ref="G2" si="1">_xlfn.CONCAT(A2, "-", F2, "-", E2, ".png")</f>
        <v>FinalState-KEY_00-screen.png</v>
      </c>
      <c r="H2" t="str">
        <f t="shared" ref="H2" si="2">MID(B2, FIND("InputEventMap", B2), LEN(B2))</f>
        <v>InputEventMap.KEY_ASTERISK</v>
      </c>
      <c r="I2" t="str">
        <f>_xlfn.CONCAT("StreamdeckInput.", F2, ": ", H2, ",")</f>
        <v>StreamdeckInput.KEY_00: InputEventMap.KEY_ASTERISK,</v>
      </c>
    </row>
    <row r="3" spans="1:9" x14ac:dyDescent="0.45">
      <c r="A3" t="s">
        <v>6</v>
      </c>
      <c r="B3" t="s">
        <v>4</v>
      </c>
      <c r="C3" t="s">
        <v>89</v>
      </c>
      <c r="D3">
        <v>4</v>
      </c>
      <c r="E3" t="str">
        <f t="shared" ref="E3:E33" si="3">LOWER(
  TRIM(
    SUBSTITUTE(
      LEFT(B3, FIND(" = InputEventMap", B3) - 1),
      CHAR(160),
      " "
    )
  )
)</f>
        <v>help</v>
      </c>
      <c r="F3" t="str">
        <f>"KEY_" &amp; CHOOSE(
    D3+1,
    "00","01","02","03","04","05","06","07","08","09","0A","0B","0C","0D","0E"
)</f>
        <v>KEY_04</v>
      </c>
      <c r="G3" t="str">
        <f t="shared" ref="G3:G33" si="4">_xlfn.CONCAT(A3, "-", F3, "-", E3, ".png")</f>
        <v>FinalState-KEY_04-help.png</v>
      </c>
      <c r="H3" t="str">
        <f t="shared" ref="H3:H33" si="5">MID(B3, FIND("InputEventMap", B3), LEN(B3))</f>
        <v>InputEventMap.KEY_ASTERISK</v>
      </c>
      <c r="I3" t="str">
        <f>_xlfn.CONCAT("StreamdeckInput.", F3, ": ", H3, ",")</f>
        <v>StreamdeckInput.KEY_04: InputEventMap.KEY_ASTERISK,</v>
      </c>
    </row>
    <row r="4" spans="1:9" x14ac:dyDescent="0.45">
      <c r="A4" t="s">
        <v>6</v>
      </c>
      <c r="B4" t="s">
        <v>5</v>
      </c>
      <c r="C4" t="s">
        <v>90</v>
      </c>
      <c r="D4">
        <v>9</v>
      </c>
      <c r="E4" t="str">
        <f t="shared" si="3"/>
        <v>menu</v>
      </c>
      <c r="F4" t="str">
        <f t="shared" ref="F4:F60" si="6">"KEY_" &amp; CHOOSE(
    D4+1,
    "00","01","02","03","04","05","06","07","08","09","0A","0B","0C","0D","0E"
)</f>
        <v>KEY_09</v>
      </c>
      <c r="G4" t="str">
        <f t="shared" si="4"/>
        <v>FinalState-KEY_09-menu.png</v>
      </c>
      <c r="H4" t="str">
        <f t="shared" si="5"/>
        <v>InputEventMap.KEY_5</v>
      </c>
      <c r="I4" t="str">
        <f t="shared" ref="I4:I33" si="7">_xlfn.CONCAT("StreamdeckInput.", F4, ": ", H4, ",")</f>
        <v>StreamdeckInput.KEY_09: InputEventMap.KEY_5,</v>
      </c>
    </row>
    <row r="5" spans="1:9" x14ac:dyDescent="0.45">
      <c r="A5" t="s">
        <v>15</v>
      </c>
      <c r="B5" t="s">
        <v>100</v>
      </c>
      <c r="C5" t="s">
        <v>101</v>
      </c>
      <c r="D5">
        <v>0</v>
      </c>
      <c r="E5" t="str">
        <f t="shared" ref="E5" si="8">LOWER(
  TRIM(
    SUBSTITUTE(
      LEFT(B5, FIND(" = InputEventMap", B5) - 1),
      CHAR(160),
      " "
    )
  )
)</f>
        <v>screen</v>
      </c>
      <c r="F5" t="str">
        <f t="shared" ref="F5" si="9">"KEY_" &amp; CHOOSE(
    D5+1,
    "00","01","02","03","04","05","06","07","08","09","0A","0B","0C","0D","0E"
)</f>
        <v>KEY_00</v>
      </c>
      <c r="G5" t="str">
        <f t="shared" ref="G5" si="10">_xlfn.CONCAT(A5, "-", F5, "-", E5, ".png")</f>
        <v>InitialiseAudio-KEY_00-screen.png</v>
      </c>
      <c r="H5" t="str">
        <f t="shared" ref="H5" si="11">MID(B5, FIND("InputEventMap", B5), LEN(B5))</f>
        <v>InputEventMap.KEY_ASTERISK</v>
      </c>
      <c r="I5" t="str">
        <f t="shared" ref="I5" si="12">_xlfn.CONCAT("StreamdeckInput.", F5, ": ", H5, ",")</f>
        <v>StreamdeckInput.KEY_00: InputEventMap.KEY_ASTERISK,</v>
      </c>
    </row>
    <row r="6" spans="1:9" x14ac:dyDescent="0.45">
      <c r="A6" t="s">
        <v>15</v>
      </c>
      <c r="B6" t="s">
        <v>4</v>
      </c>
      <c r="C6" t="s">
        <v>89</v>
      </c>
      <c r="D6">
        <v>4</v>
      </c>
      <c r="E6" t="str">
        <f t="shared" si="3"/>
        <v>help</v>
      </c>
      <c r="F6" t="str">
        <f t="shared" si="6"/>
        <v>KEY_04</v>
      </c>
      <c r="G6" t="str">
        <f t="shared" si="4"/>
        <v>InitialiseAudio-KEY_04-help.png</v>
      </c>
      <c r="H6" t="str">
        <f t="shared" si="5"/>
        <v>InputEventMap.KEY_ASTERISK</v>
      </c>
      <c r="I6" t="str">
        <f t="shared" si="7"/>
        <v>StreamdeckInput.KEY_04: InputEventMap.KEY_ASTERISK,</v>
      </c>
    </row>
    <row r="7" spans="1:9" x14ac:dyDescent="0.45">
      <c r="A7" t="s">
        <v>15</v>
      </c>
      <c r="B7" t="s">
        <v>31</v>
      </c>
      <c r="C7" t="s">
        <v>91</v>
      </c>
      <c r="D7">
        <v>5</v>
      </c>
      <c r="E7" t="str">
        <f t="shared" si="3"/>
        <v>init_audio</v>
      </c>
      <c r="F7" t="str">
        <f t="shared" si="6"/>
        <v>KEY_05</v>
      </c>
      <c r="G7" t="str">
        <f t="shared" si="4"/>
        <v>InitialiseAudio-KEY_05-init_audio.png</v>
      </c>
      <c r="H7" t="str">
        <f t="shared" si="5"/>
        <v>InputEventMap.KEY_1</v>
      </c>
      <c r="I7" t="str">
        <f t="shared" si="7"/>
        <v>StreamdeckInput.KEY_05: InputEventMap.KEY_1,</v>
      </c>
    </row>
    <row r="8" spans="1:9" x14ac:dyDescent="0.45">
      <c r="A8" t="s">
        <v>15</v>
      </c>
      <c r="B8" t="s">
        <v>32</v>
      </c>
      <c r="C8" t="s">
        <v>92</v>
      </c>
      <c r="D8">
        <v>6</v>
      </c>
      <c r="E8" t="str">
        <f t="shared" si="3"/>
        <v>skip_audio</v>
      </c>
      <c r="F8" t="str">
        <f t="shared" si="6"/>
        <v>KEY_06</v>
      </c>
      <c r="G8" t="str">
        <f t="shared" si="4"/>
        <v>InitialiseAudio-KEY_06-skip_audio.png</v>
      </c>
      <c r="H8" t="str">
        <f t="shared" si="5"/>
        <v>InputEventMap.KEY_2</v>
      </c>
      <c r="I8" t="str">
        <f t="shared" si="7"/>
        <v>StreamdeckInput.KEY_06: InputEventMap.KEY_2,</v>
      </c>
    </row>
    <row r="9" spans="1:9" x14ac:dyDescent="0.45">
      <c r="A9" t="s">
        <v>13</v>
      </c>
      <c r="B9" t="s">
        <v>88</v>
      </c>
      <c r="C9" t="s">
        <v>102</v>
      </c>
      <c r="D9">
        <v>0</v>
      </c>
      <c r="E9" t="str">
        <f t="shared" ref="E9" si="13">LOWER(
  TRIM(
    SUBSTITUTE(
      LEFT(B9, FIND(" = InputEventMap", B9) - 1),
      CHAR(160),
      " "
    )
  )
)</f>
        <v>screen</v>
      </c>
      <c r="F9" t="str">
        <f t="shared" ref="F9" si="14">"KEY_" &amp; CHOOSE(
    D9+1,
    "00","01","02","03","04","05","06","07","08","09","0A","0B","0C","0D","0E"
)</f>
        <v>KEY_00</v>
      </c>
      <c r="G9" t="str">
        <f t="shared" ref="G9" si="15">_xlfn.CONCAT(A9, "-", F9, "-", E9, ".png")</f>
        <v>InitialiseEx1-KEY_00-screen.png</v>
      </c>
      <c r="H9" t="str">
        <f t="shared" ref="H9" si="16">MID(B9, FIND("InputEventMap", B9), LEN(B9))</f>
        <v>InputEventMap.KEY_ASTERISK</v>
      </c>
      <c r="I9" t="str">
        <f t="shared" ref="I9" si="17">_xlfn.CONCAT("StreamdeckInput.", F9, ": ", H9, ",")</f>
        <v>StreamdeckInput.KEY_00: InputEventMap.KEY_ASTERISK,</v>
      </c>
    </row>
    <row r="10" spans="1:9" x14ac:dyDescent="0.45">
      <c r="A10" t="s">
        <v>13</v>
      </c>
      <c r="B10" t="s">
        <v>33</v>
      </c>
      <c r="C10" t="s">
        <v>89</v>
      </c>
      <c r="D10">
        <v>4</v>
      </c>
      <c r="E10" t="str">
        <f t="shared" si="3"/>
        <v>help</v>
      </c>
      <c r="F10" t="str">
        <f t="shared" si="6"/>
        <v>KEY_04</v>
      </c>
      <c r="G10" t="str">
        <f t="shared" si="4"/>
        <v>InitialiseEx1-KEY_04-help.png</v>
      </c>
      <c r="H10" t="str">
        <f t="shared" si="5"/>
        <v>InputEventMap.KEY_ASTERISK</v>
      </c>
      <c r="I10" t="str">
        <f t="shared" si="7"/>
        <v>StreamdeckInput.KEY_04: InputEventMap.KEY_ASTERISK,</v>
      </c>
    </row>
    <row r="11" spans="1:9" x14ac:dyDescent="0.45">
      <c r="A11" t="s">
        <v>13</v>
      </c>
      <c r="B11" t="s">
        <v>34</v>
      </c>
      <c r="C11" t="s">
        <v>93</v>
      </c>
      <c r="D11">
        <v>5</v>
      </c>
      <c r="E11" t="str">
        <f t="shared" si="3"/>
        <v>detect_device</v>
      </c>
      <c r="F11" t="str">
        <f t="shared" si="6"/>
        <v>KEY_05</v>
      </c>
      <c r="G11" t="str">
        <f t="shared" si="4"/>
        <v>InitialiseEx1-KEY_05-detect_device.png</v>
      </c>
      <c r="H11" t="str">
        <f t="shared" si="5"/>
        <v>InputEventMap.KEY_1</v>
      </c>
      <c r="I11" t="str">
        <f t="shared" si="7"/>
        <v>StreamdeckInput.KEY_05: InputEventMap.KEY_1,</v>
      </c>
    </row>
    <row r="12" spans="1:9" x14ac:dyDescent="0.45">
      <c r="A12" t="s">
        <v>13</v>
      </c>
      <c r="B12" t="s">
        <v>35</v>
      </c>
      <c r="C12" t="s">
        <v>92</v>
      </c>
      <c r="D12">
        <v>6</v>
      </c>
      <c r="E12" t="str">
        <f t="shared" si="3"/>
        <v>skip_device</v>
      </c>
      <c r="F12" t="str">
        <f t="shared" si="6"/>
        <v>KEY_06</v>
      </c>
      <c r="G12" t="str">
        <f t="shared" si="4"/>
        <v>InitialiseEx1-KEY_06-skip_device.png</v>
      </c>
      <c r="H12" t="str">
        <f t="shared" si="5"/>
        <v>InputEventMap.KEY_2</v>
      </c>
      <c r="I12" t="str">
        <f t="shared" si="7"/>
        <v>StreamdeckInput.KEY_06: InputEventMap.KEY_2,</v>
      </c>
    </row>
    <row r="13" spans="1:9" x14ac:dyDescent="0.45">
      <c r="A13" t="s">
        <v>14</v>
      </c>
      <c r="B13" t="s">
        <v>88</v>
      </c>
      <c r="C13" t="s">
        <v>103</v>
      </c>
      <c r="D13">
        <v>0</v>
      </c>
      <c r="E13" t="str">
        <f t="shared" ref="E13" si="18">LOWER(
  TRIM(
    SUBSTITUTE(
      LEFT(B13, FIND(" = InputEventMap", B13) - 1),
      CHAR(160),
      " "
    )
  )
)</f>
        <v>screen</v>
      </c>
      <c r="F13" t="str">
        <f t="shared" ref="F13" si="19">"KEY_" &amp; CHOOSE(
    D13+1,
    "00","01","02","03","04","05","06","07","08","09","0A","0B","0C","0D","0E"
)</f>
        <v>KEY_00</v>
      </c>
      <c r="G13" t="str">
        <f t="shared" ref="G13" si="20">_xlfn.CONCAT(A13, "-", F13, "-", E13, ".png")</f>
        <v>InitialiseEx2-KEY_00-screen.png</v>
      </c>
      <c r="H13" t="str">
        <f t="shared" ref="H13" si="21">MID(B13, FIND("InputEventMap", B13), LEN(B13))</f>
        <v>InputEventMap.KEY_ASTERISK</v>
      </c>
      <c r="I13" t="str">
        <f t="shared" ref="I13" si="22">_xlfn.CONCAT("StreamdeckInput.", F13, ": ", H13, ",")</f>
        <v>StreamdeckInput.KEY_00: InputEventMap.KEY_ASTERISK,</v>
      </c>
    </row>
    <row r="14" spans="1:9" x14ac:dyDescent="0.45">
      <c r="A14" t="s">
        <v>14</v>
      </c>
      <c r="B14" t="s">
        <v>33</v>
      </c>
      <c r="C14" t="s">
        <v>89</v>
      </c>
      <c r="D14">
        <v>4</v>
      </c>
      <c r="E14" t="str">
        <f t="shared" si="3"/>
        <v>help</v>
      </c>
      <c r="F14" t="str">
        <f t="shared" si="6"/>
        <v>KEY_04</v>
      </c>
      <c r="G14" t="str">
        <f t="shared" si="4"/>
        <v>InitialiseEx2-KEY_04-help.png</v>
      </c>
      <c r="H14" t="str">
        <f t="shared" si="5"/>
        <v>InputEventMap.KEY_ASTERISK</v>
      </c>
      <c r="I14" t="str">
        <f t="shared" si="7"/>
        <v>StreamdeckInput.KEY_04: InputEventMap.KEY_ASTERISK,</v>
      </c>
    </row>
    <row r="15" spans="1:9" x14ac:dyDescent="0.45">
      <c r="A15" t="s">
        <v>14</v>
      </c>
      <c r="B15" t="s">
        <v>34</v>
      </c>
      <c r="C15" t="s">
        <v>93</v>
      </c>
      <c r="D15">
        <v>5</v>
      </c>
      <c r="E15" t="str">
        <f t="shared" si="3"/>
        <v>detect_device</v>
      </c>
      <c r="F15" t="str">
        <f t="shared" si="6"/>
        <v>KEY_05</v>
      </c>
      <c r="G15" t="str">
        <f t="shared" si="4"/>
        <v>InitialiseEx2-KEY_05-detect_device.png</v>
      </c>
      <c r="H15" t="str">
        <f t="shared" si="5"/>
        <v>InputEventMap.KEY_1</v>
      </c>
      <c r="I15" t="str">
        <f t="shared" si="7"/>
        <v>StreamdeckInput.KEY_05: InputEventMap.KEY_1,</v>
      </c>
    </row>
    <row r="16" spans="1:9" x14ac:dyDescent="0.45">
      <c r="A16" t="s">
        <v>14</v>
      </c>
      <c r="B16" t="s">
        <v>35</v>
      </c>
      <c r="C16" t="s">
        <v>92</v>
      </c>
      <c r="D16">
        <v>6</v>
      </c>
      <c r="E16" t="str">
        <f t="shared" si="3"/>
        <v>skip_device</v>
      </c>
      <c r="F16" t="str">
        <f t="shared" si="6"/>
        <v>KEY_06</v>
      </c>
      <c r="G16" t="str">
        <f t="shared" si="4"/>
        <v>InitialiseEx2-KEY_06-skip_device.png</v>
      </c>
      <c r="H16" t="str">
        <f t="shared" si="5"/>
        <v>InputEventMap.KEY_2</v>
      </c>
      <c r="I16" t="str">
        <f t="shared" si="7"/>
        <v>StreamdeckInput.KEY_06: InputEventMap.KEY_2,</v>
      </c>
    </row>
    <row r="17" spans="1:9" x14ac:dyDescent="0.45">
      <c r="A17" t="s">
        <v>10</v>
      </c>
      <c r="B17" t="s">
        <v>88</v>
      </c>
      <c r="C17" t="s">
        <v>106</v>
      </c>
      <c r="D17">
        <v>0</v>
      </c>
      <c r="E17" t="str">
        <f t="shared" ref="E17" si="23">LOWER(
  TRIM(
    SUBSTITUTE(
      LEFT(B17, FIND(" = InputEventMap", B17) - 1),
      CHAR(160),
      " "
    )
  )
)</f>
        <v>screen</v>
      </c>
      <c r="F17" t="str">
        <f t="shared" ref="F17" si="24">"KEY_" &amp; CHOOSE(
    D17+1,
    "00","01","02","03","04","05","06","07","08","09","0A","0B","0C","0D","0E"
)</f>
        <v>KEY_00</v>
      </c>
      <c r="G17" t="str">
        <f t="shared" ref="G17" si="25">_xlfn.CONCAT(A17, "-", F17, "-", E17, ".png")</f>
        <v>InitialiseHi1-KEY_00-screen.png</v>
      </c>
      <c r="H17" t="str">
        <f t="shared" ref="H17" si="26">MID(B17, FIND("InputEventMap", B17), LEN(B17))</f>
        <v>InputEventMap.KEY_ASTERISK</v>
      </c>
      <c r="I17" t="str">
        <f t="shared" ref="I17" si="27">_xlfn.CONCAT("StreamdeckInput.", F17, ": ", H17, ",")</f>
        <v>StreamdeckInput.KEY_00: InputEventMap.KEY_ASTERISK,</v>
      </c>
    </row>
    <row r="18" spans="1:9" x14ac:dyDescent="0.45">
      <c r="A18" t="s">
        <v>10</v>
      </c>
      <c r="B18" t="s">
        <v>33</v>
      </c>
      <c r="C18" t="s">
        <v>89</v>
      </c>
      <c r="D18">
        <v>4</v>
      </c>
      <c r="E18" t="str">
        <f t="shared" si="3"/>
        <v>help</v>
      </c>
      <c r="F18" t="str">
        <f t="shared" si="6"/>
        <v>KEY_04</v>
      </c>
      <c r="G18" t="str">
        <f t="shared" si="4"/>
        <v>InitialiseHi1-KEY_04-help.png</v>
      </c>
      <c r="H18" t="str">
        <f t="shared" si="5"/>
        <v>InputEventMap.KEY_ASTERISK</v>
      </c>
      <c r="I18" t="str">
        <f t="shared" si="7"/>
        <v>StreamdeckInput.KEY_04: InputEventMap.KEY_ASTERISK,</v>
      </c>
    </row>
    <row r="19" spans="1:9" x14ac:dyDescent="0.45">
      <c r="A19" t="s">
        <v>10</v>
      </c>
      <c r="B19" t="s">
        <v>34</v>
      </c>
      <c r="C19" t="s">
        <v>93</v>
      </c>
      <c r="D19">
        <v>5</v>
      </c>
      <c r="E19" t="str">
        <f t="shared" si="3"/>
        <v>detect_device</v>
      </c>
      <c r="F19" t="str">
        <f t="shared" si="6"/>
        <v>KEY_05</v>
      </c>
      <c r="G19" t="str">
        <f t="shared" si="4"/>
        <v>InitialiseHi1-KEY_05-detect_device.png</v>
      </c>
      <c r="H19" t="str">
        <f t="shared" si="5"/>
        <v>InputEventMap.KEY_1</v>
      </c>
      <c r="I19" t="str">
        <f t="shared" si="7"/>
        <v>StreamdeckInput.KEY_05: InputEventMap.KEY_1,</v>
      </c>
    </row>
    <row r="20" spans="1:9" x14ac:dyDescent="0.45">
      <c r="A20" t="s">
        <v>10</v>
      </c>
      <c r="B20" t="s">
        <v>35</v>
      </c>
      <c r="C20" t="s">
        <v>92</v>
      </c>
      <c r="D20">
        <v>6</v>
      </c>
      <c r="E20" t="str">
        <f t="shared" si="3"/>
        <v>skip_device</v>
      </c>
      <c r="F20" t="str">
        <f t="shared" si="6"/>
        <v>KEY_06</v>
      </c>
      <c r="G20" t="str">
        <f t="shared" si="4"/>
        <v>InitialiseHi1-KEY_06-skip_device.png</v>
      </c>
      <c r="H20" t="str">
        <f t="shared" si="5"/>
        <v>InputEventMap.KEY_2</v>
      </c>
      <c r="I20" t="str">
        <f t="shared" si="7"/>
        <v>StreamdeckInput.KEY_06: InputEventMap.KEY_2,</v>
      </c>
    </row>
    <row r="21" spans="1:9" x14ac:dyDescent="0.45">
      <c r="A21" t="s">
        <v>11</v>
      </c>
      <c r="B21" t="s">
        <v>88</v>
      </c>
      <c r="C21" t="s">
        <v>107</v>
      </c>
      <c r="D21">
        <v>0</v>
      </c>
      <c r="E21" t="str">
        <f t="shared" ref="E21" si="28">LOWER(
  TRIM(
    SUBSTITUTE(
      LEFT(B21, FIND(" = InputEventMap", B21) - 1),
      CHAR(160),
      " "
    )
  )
)</f>
        <v>screen</v>
      </c>
      <c r="F21" t="str">
        <f t="shared" ref="F21" si="29">"KEY_" &amp; CHOOSE(
    D21+1,
    "00","01","02","03","04","05","06","07","08","09","0A","0B","0C","0D","0E"
)</f>
        <v>KEY_00</v>
      </c>
      <c r="G21" t="str">
        <f t="shared" ref="G21" si="30">_xlfn.CONCAT(A21, "-", F21, "-", E21, ".png")</f>
        <v>InitialiseHi2-KEY_00-screen.png</v>
      </c>
      <c r="H21" t="str">
        <f t="shared" ref="H21" si="31">MID(B21, FIND("InputEventMap", B21), LEN(B21))</f>
        <v>InputEventMap.KEY_ASTERISK</v>
      </c>
      <c r="I21" t="str">
        <f t="shared" ref="I21" si="32">_xlfn.CONCAT("StreamdeckInput.", F21, ": ", H21, ",")</f>
        <v>StreamdeckInput.KEY_00: InputEventMap.KEY_ASTERISK,</v>
      </c>
    </row>
    <row r="22" spans="1:9" x14ac:dyDescent="0.45">
      <c r="A22" t="s">
        <v>11</v>
      </c>
      <c r="B22" t="s">
        <v>33</v>
      </c>
      <c r="C22" t="s">
        <v>89</v>
      </c>
      <c r="D22">
        <v>4</v>
      </c>
      <c r="E22" t="str">
        <f t="shared" si="3"/>
        <v>help</v>
      </c>
      <c r="F22" t="str">
        <f t="shared" si="6"/>
        <v>KEY_04</v>
      </c>
      <c r="G22" t="str">
        <f t="shared" si="4"/>
        <v>InitialiseHi2-KEY_04-help.png</v>
      </c>
      <c r="H22" t="str">
        <f t="shared" si="5"/>
        <v>InputEventMap.KEY_ASTERISK</v>
      </c>
      <c r="I22" t="str">
        <f t="shared" si="7"/>
        <v>StreamdeckInput.KEY_04: InputEventMap.KEY_ASTERISK,</v>
      </c>
    </row>
    <row r="23" spans="1:9" x14ac:dyDescent="0.45">
      <c r="A23" t="s">
        <v>11</v>
      </c>
      <c r="B23" t="s">
        <v>34</v>
      </c>
      <c r="C23" t="s">
        <v>93</v>
      </c>
      <c r="D23">
        <v>5</v>
      </c>
      <c r="E23" t="str">
        <f t="shared" si="3"/>
        <v>detect_device</v>
      </c>
      <c r="F23" t="str">
        <f t="shared" si="6"/>
        <v>KEY_05</v>
      </c>
      <c r="G23" t="str">
        <f t="shared" si="4"/>
        <v>InitialiseHi2-KEY_05-detect_device.png</v>
      </c>
      <c r="H23" t="str">
        <f t="shared" si="5"/>
        <v>InputEventMap.KEY_1</v>
      </c>
      <c r="I23" t="str">
        <f t="shared" si="7"/>
        <v>StreamdeckInput.KEY_05: InputEventMap.KEY_1,</v>
      </c>
    </row>
    <row r="24" spans="1:9" x14ac:dyDescent="0.45">
      <c r="A24" t="s">
        <v>11</v>
      </c>
      <c r="B24" t="s">
        <v>35</v>
      </c>
      <c r="C24" t="s">
        <v>92</v>
      </c>
      <c r="D24">
        <v>6</v>
      </c>
      <c r="E24" t="str">
        <f t="shared" si="3"/>
        <v>skip_device</v>
      </c>
      <c r="F24" t="str">
        <f t="shared" si="6"/>
        <v>KEY_06</v>
      </c>
      <c r="G24" t="str">
        <f t="shared" si="4"/>
        <v>InitialiseHi2-KEY_06-skip_device.png</v>
      </c>
      <c r="H24" t="str">
        <f t="shared" si="5"/>
        <v>InputEventMap.KEY_2</v>
      </c>
      <c r="I24" t="str">
        <f t="shared" si="7"/>
        <v>StreamdeckInput.KEY_06: InputEventMap.KEY_2,</v>
      </c>
    </row>
    <row r="25" spans="1:9" x14ac:dyDescent="0.45">
      <c r="A25" t="s">
        <v>12</v>
      </c>
      <c r="B25" t="s">
        <v>88</v>
      </c>
      <c r="C25" t="s">
        <v>108</v>
      </c>
      <c r="D25">
        <v>0</v>
      </c>
      <c r="E25" t="str">
        <f t="shared" ref="E25" si="33">LOWER(
  TRIM(
    SUBSTITUTE(
      LEFT(B25, FIND(" = InputEventMap", B25) - 1),
      CHAR(160),
      " "
    )
  )
)</f>
        <v>screen</v>
      </c>
      <c r="F25" t="str">
        <f t="shared" ref="F25" si="34">"KEY_" &amp; CHOOSE(
    D25+1,
    "00","01","02","03","04","05","06","07","08","09","0A","0B","0C","0D","0E"
)</f>
        <v>KEY_00</v>
      </c>
      <c r="G25" t="str">
        <f t="shared" ref="G25" si="35">_xlfn.CONCAT(A25, "-", F25, "-", E25, ".png")</f>
        <v>InitialiseHi3-KEY_00-screen.png</v>
      </c>
      <c r="H25" t="str">
        <f t="shared" ref="H25" si="36">MID(B25, FIND("InputEventMap", B25), LEN(B25))</f>
        <v>InputEventMap.KEY_ASTERISK</v>
      </c>
      <c r="I25" t="str">
        <f t="shared" ref="I25" si="37">_xlfn.CONCAT("StreamdeckInput.", F25, ": ", H25, ",")</f>
        <v>StreamdeckInput.KEY_00: InputEventMap.KEY_ASTERISK,</v>
      </c>
    </row>
    <row r="26" spans="1:9" x14ac:dyDescent="0.45">
      <c r="A26" t="s">
        <v>12</v>
      </c>
      <c r="B26" t="s">
        <v>33</v>
      </c>
      <c r="C26" t="s">
        <v>89</v>
      </c>
      <c r="D26">
        <v>4</v>
      </c>
      <c r="E26" t="str">
        <f t="shared" si="3"/>
        <v>help</v>
      </c>
      <c r="F26" t="str">
        <f t="shared" si="6"/>
        <v>KEY_04</v>
      </c>
      <c r="G26" t="str">
        <f t="shared" si="4"/>
        <v>InitialiseHi3-KEY_04-help.png</v>
      </c>
      <c r="H26" t="str">
        <f t="shared" si="5"/>
        <v>InputEventMap.KEY_ASTERISK</v>
      </c>
      <c r="I26" t="str">
        <f t="shared" si="7"/>
        <v>StreamdeckInput.KEY_04: InputEventMap.KEY_ASTERISK,</v>
      </c>
    </row>
    <row r="27" spans="1:9" x14ac:dyDescent="0.45">
      <c r="A27" t="s">
        <v>12</v>
      </c>
      <c r="B27" t="s">
        <v>34</v>
      </c>
      <c r="C27" t="s">
        <v>93</v>
      </c>
      <c r="D27">
        <v>5</v>
      </c>
      <c r="E27" t="str">
        <f t="shared" si="3"/>
        <v>detect_device</v>
      </c>
      <c r="F27" t="str">
        <f t="shared" si="6"/>
        <v>KEY_05</v>
      </c>
      <c r="G27" t="str">
        <f t="shared" si="4"/>
        <v>InitialiseHi3-KEY_05-detect_device.png</v>
      </c>
      <c r="H27" t="str">
        <f t="shared" si="5"/>
        <v>InputEventMap.KEY_1</v>
      </c>
      <c r="I27" t="str">
        <f t="shared" si="7"/>
        <v>StreamdeckInput.KEY_05: InputEventMap.KEY_1,</v>
      </c>
    </row>
    <row r="28" spans="1:9" x14ac:dyDescent="0.45">
      <c r="A28" t="s">
        <v>12</v>
      </c>
      <c r="B28" t="s">
        <v>35</v>
      </c>
      <c r="C28" t="s">
        <v>92</v>
      </c>
      <c r="D28">
        <v>6</v>
      </c>
      <c r="E28" t="str">
        <f t="shared" si="3"/>
        <v>skip_device</v>
      </c>
      <c r="F28" t="str">
        <f t="shared" si="6"/>
        <v>KEY_06</v>
      </c>
      <c r="G28" t="str">
        <f t="shared" si="4"/>
        <v>InitialiseHi3-KEY_06-skip_device.png</v>
      </c>
      <c r="H28" t="str">
        <f t="shared" si="5"/>
        <v>InputEventMap.KEY_2</v>
      </c>
      <c r="I28" t="str">
        <f t="shared" si="7"/>
        <v>StreamdeckInput.KEY_06: InputEventMap.KEY_2,</v>
      </c>
    </row>
    <row r="29" spans="1:9" x14ac:dyDescent="0.45">
      <c r="A29" t="s">
        <v>9</v>
      </c>
      <c r="B29" t="s">
        <v>88</v>
      </c>
      <c r="C29" t="s">
        <v>109</v>
      </c>
      <c r="D29">
        <v>0</v>
      </c>
      <c r="E29" t="str">
        <f t="shared" ref="E29" si="38">LOWER(
  TRIM(
    SUBSTITUTE(
      LEFT(B29, FIND(" = InputEventMap", B29) - 1),
      CHAR(160),
      " "
    )
  )
)</f>
        <v>screen</v>
      </c>
      <c r="F29" t="str">
        <f t="shared" ref="F29" si="39">"KEY_" &amp; CHOOSE(
    D29+1,
    "00","01","02","03","04","05","06","07","08","09","0A","0B","0C","0D","0E"
)</f>
        <v>KEY_00</v>
      </c>
      <c r="G29" t="str">
        <f t="shared" ref="G29" si="40">_xlfn.CONCAT(A29, "-", F29, "-", E29, ".png")</f>
        <v>InitialiseLcl-KEY_00-screen.png</v>
      </c>
      <c r="H29" t="str">
        <f t="shared" ref="H29" si="41">MID(B29, FIND("InputEventMap", B29), LEN(B29))</f>
        <v>InputEventMap.KEY_ASTERISK</v>
      </c>
      <c r="I29" t="str">
        <f t="shared" ref="I29" si="42">_xlfn.CONCAT("StreamdeckInput.", F29, ": ", H29, ",")</f>
        <v>StreamdeckInput.KEY_00: InputEventMap.KEY_ASTERISK,</v>
      </c>
    </row>
    <row r="30" spans="1:9" x14ac:dyDescent="0.45">
      <c r="A30" t="s">
        <v>9</v>
      </c>
      <c r="B30" t="s">
        <v>33</v>
      </c>
      <c r="C30" t="s">
        <v>89</v>
      </c>
      <c r="D30">
        <v>4</v>
      </c>
      <c r="E30" t="str">
        <f t="shared" si="3"/>
        <v>help</v>
      </c>
      <c r="F30" t="str">
        <f t="shared" si="6"/>
        <v>KEY_04</v>
      </c>
      <c r="G30" t="str">
        <f t="shared" si="4"/>
        <v>InitialiseLcl-KEY_04-help.png</v>
      </c>
      <c r="H30" t="str">
        <f t="shared" si="5"/>
        <v>InputEventMap.KEY_ASTERISK</v>
      </c>
      <c r="I30" t="str">
        <f t="shared" si="7"/>
        <v>StreamdeckInput.KEY_04: InputEventMap.KEY_ASTERISK,</v>
      </c>
    </row>
    <row r="31" spans="1:9" x14ac:dyDescent="0.45">
      <c r="A31" t="s">
        <v>9</v>
      </c>
      <c r="B31" t="s">
        <v>34</v>
      </c>
      <c r="C31" t="s">
        <v>93</v>
      </c>
      <c r="D31">
        <v>5</v>
      </c>
      <c r="E31" t="str">
        <f t="shared" si="3"/>
        <v>detect_device</v>
      </c>
      <c r="F31" t="str">
        <f t="shared" si="6"/>
        <v>KEY_05</v>
      </c>
      <c r="G31" t="str">
        <f t="shared" si="4"/>
        <v>InitialiseLcl-KEY_05-detect_device.png</v>
      </c>
      <c r="H31" t="str">
        <f t="shared" si="5"/>
        <v>InputEventMap.KEY_1</v>
      </c>
      <c r="I31" t="str">
        <f t="shared" si="7"/>
        <v>StreamdeckInput.KEY_05: InputEventMap.KEY_1,</v>
      </c>
    </row>
    <row r="32" spans="1:9" x14ac:dyDescent="0.45">
      <c r="A32" t="s">
        <v>9</v>
      </c>
      <c r="B32" t="s">
        <v>35</v>
      </c>
      <c r="C32" t="s">
        <v>92</v>
      </c>
      <c r="D32">
        <v>6</v>
      </c>
      <c r="E32" t="str">
        <f t="shared" si="3"/>
        <v>skip_device</v>
      </c>
      <c r="F32" t="str">
        <f t="shared" si="6"/>
        <v>KEY_06</v>
      </c>
      <c r="G32" t="str">
        <f t="shared" si="4"/>
        <v>InitialiseLcl-KEY_06-skip_device.png</v>
      </c>
      <c r="H32" t="str">
        <f t="shared" si="5"/>
        <v>InputEventMap.KEY_2</v>
      </c>
      <c r="I32" t="str">
        <f t="shared" si="7"/>
        <v>StreamdeckInput.KEY_06: InputEventMap.KEY_2,</v>
      </c>
    </row>
    <row r="33" spans="1:9" x14ac:dyDescent="0.45">
      <c r="A33" t="s">
        <v>16</v>
      </c>
      <c r="B33" t="s">
        <v>88</v>
      </c>
      <c r="C33" t="s">
        <v>110</v>
      </c>
      <c r="D33">
        <v>0</v>
      </c>
      <c r="E33" t="str">
        <f t="shared" si="3"/>
        <v>screen</v>
      </c>
      <c r="F33" t="str">
        <f t="shared" ref="F33" si="43">"KEY_" &amp; CHOOSE(
    D33+1,
    "00","01","02","03","04","05","06","07","08","09","0A","0B","0C","0D","0E"
)</f>
        <v>KEY_00</v>
      </c>
      <c r="G33" t="str">
        <f t="shared" si="4"/>
        <v>InitialiseRc1-KEY_00-screen.png</v>
      </c>
      <c r="H33" t="str">
        <f t="shared" si="5"/>
        <v>InputEventMap.KEY_ASTERISK</v>
      </c>
      <c r="I33" t="str">
        <f t="shared" si="7"/>
        <v>StreamdeckInput.KEY_00: InputEventMap.KEY_ASTERISK,</v>
      </c>
    </row>
    <row r="34" spans="1:9" x14ac:dyDescent="0.45">
      <c r="A34" t="s">
        <v>16</v>
      </c>
      <c r="B34" t="s">
        <v>33</v>
      </c>
      <c r="C34" t="s">
        <v>89</v>
      </c>
      <c r="D34">
        <v>4</v>
      </c>
      <c r="E34" t="str">
        <f t="shared" ref="E34:E42" si="44">LOWER(
  TRIM(
    SUBSTITUTE(
      LEFT(B34, FIND(" = InputEventMap", B34) - 1),
      CHAR(160),
      " "
    )
  )
)</f>
        <v>help</v>
      </c>
      <c r="F34" t="str">
        <f t="shared" si="6"/>
        <v>KEY_04</v>
      </c>
      <c r="G34" t="str">
        <f t="shared" ref="G34:G42" si="45">_xlfn.CONCAT(A34, "-", F34, "-", E34, ".png")</f>
        <v>InitialiseRc1-KEY_04-help.png</v>
      </c>
      <c r="H34" t="str">
        <f t="shared" ref="H34:H42" si="46">MID(B34, FIND("InputEventMap", B34), LEN(B34))</f>
        <v>InputEventMap.KEY_ASTERISK</v>
      </c>
      <c r="I34" t="str">
        <f t="shared" ref="I34:I42" si="47">_xlfn.CONCAT("StreamdeckInput.", F34, ": ", H34, ",")</f>
        <v>StreamdeckInput.KEY_04: InputEventMap.KEY_ASTERISK,</v>
      </c>
    </row>
    <row r="35" spans="1:9" x14ac:dyDescent="0.45">
      <c r="A35" t="s">
        <v>16</v>
      </c>
      <c r="B35" t="s">
        <v>34</v>
      </c>
      <c r="C35" t="s">
        <v>93</v>
      </c>
      <c r="D35">
        <v>5</v>
      </c>
      <c r="E35" t="str">
        <f t="shared" si="44"/>
        <v>detect_device</v>
      </c>
      <c r="F35" t="str">
        <f t="shared" si="6"/>
        <v>KEY_05</v>
      </c>
      <c r="G35" t="str">
        <f t="shared" si="45"/>
        <v>InitialiseRc1-KEY_05-detect_device.png</v>
      </c>
      <c r="H35" t="str">
        <f t="shared" si="46"/>
        <v>InputEventMap.KEY_1</v>
      </c>
      <c r="I35" t="str">
        <f t="shared" si="47"/>
        <v>StreamdeckInput.KEY_05: InputEventMap.KEY_1,</v>
      </c>
    </row>
    <row r="36" spans="1:9" x14ac:dyDescent="0.45">
      <c r="A36" t="s">
        <v>16</v>
      </c>
      <c r="B36" t="s">
        <v>35</v>
      </c>
      <c r="C36" t="s">
        <v>92</v>
      </c>
      <c r="D36">
        <v>6</v>
      </c>
      <c r="E36" t="str">
        <f t="shared" si="44"/>
        <v>skip_device</v>
      </c>
      <c r="F36" t="str">
        <f t="shared" si="6"/>
        <v>KEY_06</v>
      </c>
      <c r="G36" t="str">
        <f t="shared" si="45"/>
        <v>InitialiseRc1-KEY_06-skip_device.png</v>
      </c>
      <c r="H36" t="str">
        <f t="shared" si="46"/>
        <v>InputEventMap.KEY_2</v>
      </c>
      <c r="I36" t="str">
        <f t="shared" si="47"/>
        <v>StreamdeckInput.KEY_06: InputEventMap.KEY_2,</v>
      </c>
    </row>
    <row r="37" spans="1:9" x14ac:dyDescent="0.45">
      <c r="A37" t="s">
        <v>16</v>
      </c>
      <c r="B37" t="s">
        <v>36</v>
      </c>
      <c r="C37" t="s">
        <v>94</v>
      </c>
      <c r="D37">
        <v>10</v>
      </c>
      <c r="E37" t="str">
        <f t="shared" si="44"/>
        <v>format_device</v>
      </c>
      <c r="F37" t="str">
        <f t="shared" si="6"/>
        <v>KEY_0A</v>
      </c>
      <c r="G37" t="str">
        <f t="shared" si="45"/>
        <v>InitialiseRc1-KEY_0A-format_device.png</v>
      </c>
      <c r="H37" t="str">
        <f t="shared" si="46"/>
        <v>InputEventMap.KEY_6</v>
      </c>
      <c r="I37" t="str">
        <f t="shared" si="47"/>
        <v>StreamdeckInput.KEY_0A: InputEventMap.KEY_6,</v>
      </c>
    </row>
    <row r="38" spans="1:9" x14ac:dyDescent="0.45">
      <c r="A38" t="s">
        <v>16</v>
      </c>
      <c r="B38" t="s">
        <v>37</v>
      </c>
      <c r="C38" t="s">
        <v>95</v>
      </c>
      <c r="D38">
        <v>11</v>
      </c>
      <c r="E38" t="str">
        <f t="shared" si="44"/>
        <v>mount_device</v>
      </c>
      <c r="F38" t="str">
        <f t="shared" si="6"/>
        <v>KEY_0B</v>
      </c>
      <c r="G38" t="str">
        <f t="shared" si="45"/>
        <v>InitialiseRc1-KEY_0B-mount_device.png</v>
      </c>
      <c r="H38" t="str">
        <f t="shared" si="46"/>
        <v>InputEventMap.KEY_7</v>
      </c>
      <c r="I38" t="str">
        <f t="shared" si="47"/>
        <v>StreamdeckInput.KEY_0B: InputEventMap.KEY_7,</v>
      </c>
    </row>
    <row r="39" spans="1:9" x14ac:dyDescent="0.45">
      <c r="A39" t="s">
        <v>16</v>
      </c>
      <c r="B39" t="s">
        <v>38</v>
      </c>
      <c r="C39" t="s">
        <v>96</v>
      </c>
      <c r="D39">
        <v>12</v>
      </c>
      <c r="E39" t="str">
        <f t="shared" si="44"/>
        <v>unmount_device</v>
      </c>
      <c r="F39" t="str">
        <f t="shared" si="6"/>
        <v>KEY_0C</v>
      </c>
      <c r="G39" t="str">
        <f t="shared" si="45"/>
        <v>InitialiseRc1-KEY_0C-unmount_device.png</v>
      </c>
      <c r="H39" t="str">
        <f t="shared" si="46"/>
        <v>InputEventMap.KEY_8</v>
      </c>
      <c r="I39" t="str">
        <f t="shared" si="47"/>
        <v>StreamdeckInput.KEY_0C: InputEventMap.KEY_8,</v>
      </c>
    </row>
    <row r="40" spans="1:9" x14ac:dyDescent="0.45">
      <c r="A40" t="s">
        <v>16</v>
      </c>
      <c r="B40" t="s">
        <v>39</v>
      </c>
      <c r="C40" t="s">
        <v>97</v>
      </c>
      <c r="D40">
        <v>13</v>
      </c>
      <c r="E40" t="str">
        <f t="shared" si="44"/>
        <v>clean_device</v>
      </c>
      <c r="F40" t="str">
        <f t="shared" si="6"/>
        <v>KEY_0D</v>
      </c>
      <c r="G40" t="str">
        <f t="shared" si="45"/>
        <v>InitialiseRc1-KEY_0D-clean_device.png</v>
      </c>
      <c r="H40" t="str">
        <f t="shared" si="46"/>
        <v>InputEventMap.KEY_9</v>
      </c>
      <c r="I40" t="str">
        <f t="shared" si="47"/>
        <v>StreamdeckInput.KEY_0D: InputEventMap.KEY_9,</v>
      </c>
    </row>
    <row r="41" spans="1:9" x14ac:dyDescent="0.45">
      <c r="A41" t="s">
        <v>17</v>
      </c>
      <c r="B41" t="s">
        <v>88</v>
      </c>
      <c r="C41" t="s">
        <v>111</v>
      </c>
      <c r="D41">
        <v>0</v>
      </c>
      <c r="E41" t="str">
        <f t="shared" ref="E41" si="48">LOWER(
  TRIM(
    SUBSTITUTE(
      LEFT(B41, FIND(" = InputEventMap", B41) - 1),
      CHAR(160),
      " "
    )
  )
)</f>
        <v>screen</v>
      </c>
      <c r="F41" t="str">
        <f t="shared" ref="F41" si="49">"KEY_" &amp; CHOOSE(
    D41+1,
    "00","01","02","03","04","05","06","07","08","09","0A","0B","0C","0D","0E"
)</f>
        <v>KEY_00</v>
      </c>
      <c r="G41" t="str">
        <f t="shared" ref="G41" si="50">_xlfn.CONCAT(A41, "-", F41, "-", E41, ".png")</f>
        <v>InitialiseRc2-KEY_00-screen.png</v>
      </c>
      <c r="H41" t="str">
        <f t="shared" ref="H41" si="51">MID(B41, FIND("InputEventMap", B41), LEN(B41))</f>
        <v>InputEventMap.KEY_ASTERISK</v>
      </c>
      <c r="I41" t="str">
        <f t="shared" ref="I41" si="52">_xlfn.CONCAT("StreamdeckInput.", F41, ": ", H41, ",")</f>
        <v>StreamdeckInput.KEY_00: InputEventMap.KEY_ASTERISK,</v>
      </c>
    </row>
    <row r="42" spans="1:9" x14ac:dyDescent="0.45">
      <c r="A42" t="s">
        <v>17</v>
      </c>
      <c r="B42" t="s">
        <v>33</v>
      </c>
      <c r="C42" t="s">
        <v>89</v>
      </c>
      <c r="D42">
        <v>4</v>
      </c>
      <c r="E42" t="str">
        <f t="shared" si="44"/>
        <v>help</v>
      </c>
      <c r="F42" t="str">
        <f t="shared" si="6"/>
        <v>KEY_04</v>
      </c>
      <c r="G42" t="str">
        <f t="shared" si="45"/>
        <v>InitialiseRc2-KEY_04-help.png</v>
      </c>
      <c r="H42" t="str">
        <f t="shared" si="46"/>
        <v>InputEventMap.KEY_ASTERISK</v>
      </c>
      <c r="I42" t="str">
        <f t="shared" si="47"/>
        <v>StreamdeckInput.KEY_04: InputEventMap.KEY_ASTERISK,</v>
      </c>
    </row>
    <row r="43" spans="1:9" x14ac:dyDescent="0.45">
      <c r="A43" t="s">
        <v>17</v>
      </c>
      <c r="B43" t="s">
        <v>34</v>
      </c>
      <c r="C43" t="s">
        <v>93</v>
      </c>
      <c r="D43">
        <v>5</v>
      </c>
      <c r="E43" t="str">
        <f t="shared" ref="E43:E50" si="53">LOWER(
  TRIM(
    SUBSTITUTE(
      LEFT(B43, FIND(" = InputEventMap", B43) - 1),
      CHAR(160),
      " "
    )
  )
)</f>
        <v>detect_device</v>
      </c>
      <c r="F43" t="str">
        <f t="shared" si="6"/>
        <v>KEY_05</v>
      </c>
      <c r="G43" t="str">
        <f t="shared" ref="G43:G50" si="54">_xlfn.CONCAT(A43, "-", F43, "-", E43, ".png")</f>
        <v>InitialiseRc2-KEY_05-detect_device.png</v>
      </c>
      <c r="H43" t="str">
        <f t="shared" ref="H43:H50" si="55">MID(B43, FIND("InputEventMap", B43), LEN(B43))</f>
        <v>InputEventMap.KEY_1</v>
      </c>
      <c r="I43" t="str">
        <f t="shared" ref="I43:I50" si="56">_xlfn.CONCAT("StreamdeckInput.", F43, ": ", H43, ",")</f>
        <v>StreamdeckInput.KEY_05: InputEventMap.KEY_1,</v>
      </c>
    </row>
    <row r="44" spans="1:9" x14ac:dyDescent="0.45">
      <c r="A44" t="s">
        <v>17</v>
      </c>
      <c r="B44" t="s">
        <v>35</v>
      </c>
      <c r="C44" t="s">
        <v>92</v>
      </c>
      <c r="D44">
        <v>6</v>
      </c>
      <c r="E44" t="str">
        <f t="shared" si="53"/>
        <v>skip_device</v>
      </c>
      <c r="F44" t="str">
        <f t="shared" si="6"/>
        <v>KEY_06</v>
      </c>
      <c r="G44" t="str">
        <f t="shared" si="54"/>
        <v>InitialiseRc2-KEY_06-skip_device.png</v>
      </c>
      <c r="H44" t="str">
        <f t="shared" si="55"/>
        <v>InputEventMap.KEY_2</v>
      </c>
      <c r="I44" t="str">
        <f t="shared" si="56"/>
        <v>StreamdeckInput.KEY_06: InputEventMap.KEY_2,</v>
      </c>
    </row>
    <row r="45" spans="1:9" x14ac:dyDescent="0.45">
      <c r="A45" t="s">
        <v>17</v>
      </c>
      <c r="B45" t="s">
        <v>36</v>
      </c>
      <c r="C45" t="s">
        <v>94</v>
      </c>
      <c r="D45">
        <v>10</v>
      </c>
      <c r="E45" t="str">
        <f t="shared" si="53"/>
        <v>format_device</v>
      </c>
      <c r="F45" t="str">
        <f t="shared" si="6"/>
        <v>KEY_0A</v>
      </c>
      <c r="G45" t="str">
        <f t="shared" si="54"/>
        <v>InitialiseRc2-KEY_0A-format_device.png</v>
      </c>
      <c r="H45" t="str">
        <f t="shared" si="55"/>
        <v>InputEventMap.KEY_6</v>
      </c>
      <c r="I45" t="str">
        <f t="shared" si="56"/>
        <v>StreamdeckInput.KEY_0A: InputEventMap.KEY_6,</v>
      </c>
    </row>
    <row r="46" spans="1:9" x14ac:dyDescent="0.45">
      <c r="A46" t="s">
        <v>17</v>
      </c>
      <c r="B46" t="s">
        <v>37</v>
      </c>
      <c r="C46" t="s">
        <v>95</v>
      </c>
      <c r="D46">
        <v>11</v>
      </c>
      <c r="E46" t="str">
        <f t="shared" si="53"/>
        <v>mount_device</v>
      </c>
      <c r="F46" t="str">
        <f t="shared" si="6"/>
        <v>KEY_0B</v>
      </c>
      <c r="G46" t="str">
        <f t="shared" si="54"/>
        <v>InitialiseRc2-KEY_0B-mount_device.png</v>
      </c>
      <c r="H46" t="str">
        <f t="shared" si="55"/>
        <v>InputEventMap.KEY_7</v>
      </c>
      <c r="I46" t="str">
        <f t="shared" si="56"/>
        <v>StreamdeckInput.KEY_0B: InputEventMap.KEY_7,</v>
      </c>
    </row>
    <row r="47" spans="1:9" x14ac:dyDescent="0.45">
      <c r="A47" t="s">
        <v>17</v>
      </c>
      <c r="B47" t="s">
        <v>38</v>
      </c>
      <c r="C47" t="s">
        <v>96</v>
      </c>
      <c r="D47">
        <v>12</v>
      </c>
      <c r="E47" t="str">
        <f t="shared" si="53"/>
        <v>unmount_device</v>
      </c>
      <c r="F47" t="str">
        <f t="shared" si="6"/>
        <v>KEY_0C</v>
      </c>
      <c r="G47" t="str">
        <f t="shared" si="54"/>
        <v>InitialiseRc2-KEY_0C-unmount_device.png</v>
      </c>
      <c r="H47" t="str">
        <f t="shared" si="55"/>
        <v>InputEventMap.KEY_8</v>
      </c>
      <c r="I47" t="str">
        <f t="shared" si="56"/>
        <v>StreamdeckInput.KEY_0C: InputEventMap.KEY_8,</v>
      </c>
    </row>
    <row r="48" spans="1:9" x14ac:dyDescent="0.45">
      <c r="A48" t="s">
        <v>17</v>
      </c>
      <c r="B48" t="s">
        <v>39</v>
      </c>
      <c r="C48" t="s">
        <v>97</v>
      </c>
      <c r="D48">
        <v>13</v>
      </c>
      <c r="E48" t="str">
        <f t="shared" si="53"/>
        <v>clean_device</v>
      </c>
      <c r="F48" t="str">
        <f t="shared" si="6"/>
        <v>KEY_0D</v>
      </c>
      <c r="G48" t="str">
        <f t="shared" si="54"/>
        <v>InitialiseRc2-KEY_0D-clean_device.png</v>
      </c>
      <c r="H48" t="str">
        <f t="shared" si="55"/>
        <v>InputEventMap.KEY_9</v>
      </c>
      <c r="I48" t="str">
        <f t="shared" si="56"/>
        <v>StreamdeckInput.KEY_0D: InputEventMap.KEY_9,</v>
      </c>
    </row>
    <row r="49" spans="1:9" x14ac:dyDescent="0.45">
      <c r="A49" t="s">
        <v>7</v>
      </c>
      <c r="B49" t="s">
        <v>88</v>
      </c>
      <c r="C49" t="s">
        <v>99</v>
      </c>
      <c r="D49">
        <v>0</v>
      </c>
      <c r="E49" t="str">
        <f t="shared" ref="E49" si="57">LOWER(
  TRIM(
    SUBSTITUTE(
      LEFT(B49, FIND(" = InputEventMap", B49) - 1),
      CHAR(160),
      " "
    )
  )
)</f>
        <v>screen</v>
      </c>
      <c r="F49" t="str">
        <f t="shared" ref="F49" si="58">"KEY_" &amp; CHOOSE(
    D49+1,
    "00","01","02","03","04","05","06","07","08","09","0A","0B","0C","0D","0E"
)</f>
        <v>KEY_00</v>
      </c>
      <c r="G49" t="str">
        <f t="shared" ref="G49" si="59">_xlfn.CONCAT(A49, "-", F49, "-", E49, ".png")</f>
        <v>Main-KEY_00-screen.png</v>
      </c>
      <c r="H49" t="str">
        <f t="shared" ref="H49" si="60">MID(B49, FIND("InputEventMap", B49), LEN(B49))</f>
        <v>InputEventMap.KEY_ASTERISK</v>
      </c>
      <c r="I49" t="str">
        <f t="shared" ref="I49" si="61">_xlfn.CONCAT("StreamdeckInput.", F49, ": ", H49, ",")</f>
        <v>StreamdeckInput.KEY_00: InputEventMap.KEY_ASTERISK,</v>
      </c>
    </row>
    <row r="50" spans="1:9" x14ac:dyDescent="0.45">
      <c r="A50" t="s">
        <v>7</v>
      </c>
      <c r="B50" t="s">
        <v>33</v>
      </c>
      <c r="C50" t="s">
        <v>89</v>
      </c>
      <c r="D50">
        <v>4</v>
      </c>
      <c r="E50" t="str">
        <f t="shared" si="53"/>
        <v>help</v>
      </c>
      <c r="F50" t="str">
        <f t="shared" si="6"/>
        <v>KEY_04</v>
      </c>
      <c r="G50" t="str">
        <f t="shared" si="54"/>
        <v>Main-KEY_04-help.png</v>
      </c>
      <c r="H50" t="str">
        <f t="shared" si="55"/>
        <v>InputEventMap.KEY_ASTERISK</v>
      </c>
      <c r="I50" t="str">
        <f t="shared" si="56"/>
        <v>StreamdeckInput.KEY_04: InputEventMap.KEY_ASTERISK,</v>
      </c>
    </row>
    <row r="51" spans="1:9" x14ac:dyDescent="0.45">
      <c r="A51" t="s">
        <v>7</v>
      </c>
      <c r="B51" t="s">
        <v>40</v>
      </c>
      <c r="C51" t="s">
        <v>112</v>
      </c>
      <c r="D51">
        <v>5</v>
      </c>
      <c r="E51" t="str">
        <f t="shared" ref="E51:E60" si="62">LOWER(
  TRIM(
    SUBSTITUTE(
      LEFT(B51, FIND(" = InputEventMap", B51) - 1),
      CHAR(160),
      " "
    )
  )
)</f>
        <v>start_recording_mx0</v>
      </c>
      <c r="F51" t="str">
        <f t="shared" si="6"/>
        <v>KEY_05</v>
      </c>
      <c r="G51" t="str">
        <f t="shared" ref="G51:G57" si="63">_xlfn.CONCAT(A51, "-", F51, "-", E51, ".png")</f>
        <v>Main-KEY_05-start_recording_mx0.png</v>
      </c>
      <c r="H51" t="str">
        <f t="shared" ref="H51:H57" si="64">MID(B51, FIND("InputEventMap", B51), LEN(B51))</f>
        <v>InputEventMap.KEY_1</v>
      </c>
      <c r="I51" t="str">
        <f t="shared" ref="I51:I57" si="65">_xlfn.CONCAT("StreamdeckInput.", F51, ": ", H51, ",")</f>
        <v>StreamdeckInput.KEY_05: InputEventMap.KEY_1,</v>
      </c>
    </row>
    <row r="52" spans="1:9" x14ac:dyDescent="0.45">
      <c r="A52" t="s">
        <v>7</v>
      </c>
      <c r="B52" t="s">
        <v>41</v>
      </c>
      <c r="C52" t="s">
        <v>112</v>
      </c>
      <c r="D52">
        <v>6</v>
      </c>
      <c r="E52" t="str">
        <f t="shared" si="62"/>
        <v>start_recording_mx1</v>
      </c>
      <c r="F52" t="str">
        <f t="shared" si="6"/>
        <v>KEY_06</v>
      </c>
      <c r="G52" t="str">
        <f t="shared" si="63"/>
        <v>Main-KEY_06-start_recording_mx1.png</v>
      </c>
      <c r="H52" t="str">
        <f t="shared" si="64"/>
        <v>InputEventMap.KEY_2</v>
      </c>
      <c r="I52" t="str">
        <f t="shared" si="65"/>
        <v>StreamdeckInput.KEY_06: InputEventMap.KEY_2,</v>
      </c>
    </row>
    <row r="53" spans="1:9" x14ac:dyDescent="0.45">
      <c r="A53" t="s">
        <v>7</v>
      </c>
      <c r="B53" t="s">
        <v>42</v>
      </c>
      <c r="C53" t="s">
        <v>112</v>
      </c>
      <c r="D53">
        <v>7</v>
      </c>
      <c r="E53" t="str">
        <f t="shared" si="62"/>
        <v>start_recording_mx2</v>
      </c>
      <c r="F53" t="str">
        <f t="shared" si="6"/>
        <v>KEY_07</v>
      </c>
      <c r="G53" t="str">
        <f t="shared" si="63"/>
        <v>Main-KEY_07-start_recording_mx2.png</v>
      </c>
      <c r="H53" t="str">
        <f t="shared" si="64"/>
        <v>InputEventMap.KEY_3</v>
      </c>
      <c r="I53" t="str">
        <f t="shared" si="65"/>
        <v>StreamdeckInput.KEY_07: InputEventMap.KEY_3,</v>
      </c>
    </row>
    <row r="54" spans="1:9" x14ac:dyDescent="0.45">
      <c r="A54" t="s">
        <v>7</v>
      </c>
      <c r="B54" t="s">
        <v>43</v>
      </c>
      <c r="C54" t="s">
        <v>113</v>
      </c>
      <c r="D54">
        <v>10</v>
      </c>
      <c r="E54" t="str">
        <f t="shared" si="62"/>
        <v>start_playback</v>
      </c>
      <c r="F54" t="str">
        <f t="shared" si="6"/>
        <v>KEY_0A</v>
      </c>
      <c r="G54" t="str">
        <f t="shared" si="63"/>
        <v>Main-KEY_0A-start_playback.png</v>
      </c>
      <c r="H54" t="str">
        <f t="shared" si="64"/>
        <v>InputEventMap.KEY_4</v>
      </c>
      <c r="I54" t="str">
        <f t="shared" si="65"/>
        <v>StreamdeckInput.KEY_0A: InputEventMap.KEY_4,</v>
      </c>
    </row>
    <row r="55" spans="1:9" x14ac:dyDescent="0.45">
      <c r="A55" t="s">
        <v>7</v>
      </c>
      <c r="B55" t="s">
        <v>5</v>
      </c>
      <c r="C55" t="s">
        <v>90</v>
      </c>
      <c r="D55">
        <v>9</v>
      </c>
      <c r="E55" t="str">
        <f t="shared" si="62"/>
        <v>menu</v>
      </c>
      <c r="F55" t="str">
        <f t="shared" si="6"/>
        <v>KEY_09</v>
      </c>
      <c r="G55" t="str">
        <f t="shared" si="63"/>
        <v>Main-KEY_09-menu.png</v>
      </c>
      <c r="H55" t="str">
        <f t="shared" si="64"/>
        <v>InputEventMap.KEY_5</v>
      </c>
      <c r="I55" t="str">
        <f t="shared" si="65"/>
        <v>StreamdeckInput.KEY_09: InputEventMap.KEY_5,</v>
      </c>
    </row>
    <row r="56" spans="1:9" x14ac:dyDescent="0.45">
      <c r="A56" t="s">
        <v>7</v>
      </c>
      <c r="B56" t="s">
        <v>44</v>
      </c>
      <c r="C56" t="s">
        <v>114</v>
      </c>
      <c r="D56">
        <v>11</v>
      </c>
      <c r="E56" t="str">
        <f t="shared" si="62"/>
        <v>set_name</v>
      </c>
      <c r="F56" t="str">
        <f t="shared" si="6"/>
        <v>KEY_0B</v>
      </c>
      <c r="G56" t="str">
        <f t="shared" si="63"/>
        <v>Main-KEY_0B-set_name.png</v>
      </c>
      <c r="H56" t="str">
        <f t="shared" si="64"/>
        <v>InputEventMap.KEY_6</v>
      </c>
      <c r="I56" t="str">
        <f t="shared" si="65"/>
        <v>StreamdeckInput.KEY_0B: InputEventMap.KEY_6,</v>
      </c>
    </row>
    <row r="57" spans="1:9" x14ac:dyDescent="0.45">
      <c r="A57" t="s">
        <v>7</v>
      </c>
      <c r="B57" t="s">
        <v>158</v>
      </c>
      <c r="C57" t="s">
        <v>97</v>
      </c>
      <c r="D57">
        <v>12</v>
      </c>
      <c r="E57" t="str">
        <f t="shared" ref="E57" si="66">LOWER(
  TRIM(
    SUBSTITUTE(
      LEFT(B57, FIND(" = InputEventMap", B57) - 1),
      CHAR(160),
      " "
    )
  )
)</f>
        <v>delete_last_take</v>
      </c>
      <c r="F57" t="str">
        <f t="shared" ref="F57" si="67">"KEY_" &amp; CHOOSE(
    D57+1,
    "00","01","02","03","04","05","06","07","08","09","0A","0B","0C","0D","0E"
)</f>
        <v>KEY_0C</v>
      </c>
      <c r="G57" t="str">
        <f t="shared" si="63"/>
        <v>Main-KEY_0C-delete_last_take.png</v>
      </c>
      <c r="H57" t="str">
        <f t="shared" si="64"/>
        <v>InputEventMap.KEY_7</v>
      </c>
      <c r="I57" t="str">
        <f t="shared" si="65"/>
        <v>StreamdeckInput.KEY_0C: InputEventMap.KEY_7,</v>
      </c>
    </row>
    <row r="58" spans="1:9" x14ac:dyDescent="0.45">
      <c r="A58" t="s">
        <v>7</v>
      </c>
      <c r="B58" t="s">
        <v>45</v>
      </c>
      <c r="C58" t="s">
        <v>104</v>
      </c>
      <c r="D58">
        <v>14</v>
      </c>
      <c r="E58" t="str">
        <f t="shared" si="62"/>
        <v>stop_system</v>
      </c>
      <c r="F58" t="str">
        <f t="shared" si="6"/>
        <v>KEY_0E</v>
      </c>
      <c r="G58" t="str">
        <f t="shared" ref="G58:G60" si="68">_xlfn.CONCAT(A58, "-", F58, "-", E58, ".png")</f>
        <v>Main-KEY_0E-stop_system.png</v>
      </c>
      <c r="H58" t="str">
        <f t="shared" ref="H58:H60" si="69">MID(B58, FIND("InputEventMap", B58), LEN(B58))</f>
        <v>InputEventMap.KEY_9</v>
      </c>
      <c r="I58" t="str">
        <f t="shared" ref="I58:I60" si="70">_xlfn.CONCAT("StreamdeckInput.", F58, ": ", H58, ",")</f>
        <v>StreamdeckInput.KEY_0E: InputEventMap.KEY_9,</v>
      </c>
    </row>
    <row r="59" spans="1:9" x14ac:dyDescent="0.45">
      <c r="A59" t="s">
        <v>18</v>
      </c>
      <c r="B59" t="s">
        <v>100</v>
      </c>
      <c r="C59" t="s">
        <v>115</v>
      </c>
      <c r="D59">
        <v>0</v>
      </c>
      <c r="E59" t="str">
        <f t="shared" ref="E59" si="71">LOWER(
  TRIM(
    SUBSTITUTE(
      LEFT(B59, FIND(" = InputEventMap", B59) - 1),
      CHAR(160),
      " "
    )
  )
)</f>
        <v>screen</v>
      </c>
      <c r="F59" t="str">
        <f t="shared" ref="F59" si="72">"KEY_" &amp; CHOOSE(
    D59+1,
    "00","01","02","03","04","05","06","07","08","09","0A","0B","0C","0D","0E"
)</f>
        <v>KEY_00</v>
      </c>
      <c r="G59" t="str">
        <f t="shared" ref="G59" si="73">_xlfn.CONCAT(A59, "-", F59, "-", E59, ".png")</f>
        <v>OnRecord-KEY_00-screen.png</v>
      </c>
      <c r="H59" t="str">
        <f t="shared" ref="H59" si="74">MID(B59, FIND("InputEventMap", B59), LEN(B59))</f>
        <v>InputEventMap.KEY_ASTERISK</v>
      </c>
      <c r="I59" t="str">
        <f t="shared" ref="I59" si="75">_xlfn.CONCAT("StreamdeckInput.", F59, ": ", H59, ",")</f>
        <v>StreamdeckInput.KEY_00: InputEventMap.KEY_ASTERISK,</v>
      </c>
    </row>
    <row r="60" spans="1:9" x14ac:dyDescent="0.45">
      <c r="A60" t="s">
        <v>18</v>
      </c>
      <c r="B60" t="s">
        <v>4</v>
      </c>
      <c r="C60" t="s">
        <v>89</v>
      </c>
      <c r="D60">
        <v>4</v>
      </c>
      <c r="E60" t="str">
        <f t="shared" si="62"/>
        <v>help</v>
      </c>
      <c r="F60" t="str">
        <f t="shared" si="6"/>
        <v>KEY_04</v>
      </c>
      <c r="G60" t="str">
        <f t="shared" si="68"/>
        <v>OnRecord-KEY_04-help.png</v>
      </c>
      <c r="H60" t="str">
        <f t="shared" si="69"/>
        <v>InputEventMap.KEY_ASTERISK</v>
      </c>
      <c r="I60" t="str">
        <f t="shared" si="70"/>
        <v>StreamdeckInput.KEY_04: InputEventMap.KEY_ASTERISK,</v>
      </c>
    </row>
    <row r="61" spans="1:9" x14ac:dyDescent="0.45">
      <c r="A61" t="s">
        <v>18</v>
      </c>
      <c r="B61" t="s">
        <v>46</v>
      </c>
      <c r="C61" t="s">
        <v>116</v>
      </c>
      <c r="D61">
        <v>6</v>
      </c>
      <c r="E61" t="str">
        <f t="shared" ref="E61:E65" si="76">LOWER(
  TRIM(
    SUBSTITUTE(
      LEFT(B61, FIND(" = InputEventMap", B61) - 1),
      CHAR(160),
      " "
    )
  )
)</f>
        <v>stop_recording</v>
      </c>
      <c r="F61" t="str">
        <f t="shared" ref="F61:F65" si="77">"KEY_" &amp; CHOOSE(
    D61+1,
    "00","01","02","03","04","05","06","07","08","09","0A","0B","0C","0D","0E"
)</f>
        <v>KEY_06</v>
      </c>
      <c r="G61" t="str">
        <f t="shared" ref="G61:G65" si="78">_xlfn.CONCAT(A61, "-", F61, "-", E61, ".png")</f>
        <v>OnRecord-KEY_06-stop_recording.png</v>
      </c>
      <c r="H61" t="str">
        <f t="shared" ref="H61:H65" si="79">MID(B61, FIND("InputEventMap", B61), LEN(B61))</f>
        <v>InputEventMap.KEY_1</v>
      </c>
      <c r="I61" t="str">
        <f t="shared" ref="I61:I65" si="80">_xlfn.CONCAT("StreamdeckInput.", F61, ": ", H61, ",")</f>
        <v>StreamdeckInput.KEY_06: InputEventMap.KEY_1,</v>
      </c>
    </row>
    <row r="62" spans="1:9" x14ac:dyDescent="0.45">
      <c r="A62" t="s">
        <v>18</v>
      </c>
      <c r="B62" t="s">
        <v>47</v>
      </c>
      <c r="C62" t="s">
        <v>117</v>
      </c>
      <c r="D62">
        <v>5</v>
      </c>
      <c r="E62" t="str">
        <f t="shared" si="76"/>
        <v>set_cue</v>
      </c>
      <c r="F62" t="str">
        <f t="shared" si="77"/>
        <v>KEY_05</v>
      </c>
      <c r="G62" t="str">
        <f t="shared" si="78"/>
        <v>OnRecord-KEY_05-set_cue.png</v>
      </c>
      <c r="H62" t="str">
        <f t="shared" si="79"/>
        <v>InputEventMap.KEY_2</v>
      </c>
      <c r="I62" t="str">
        <f t="shared" si="80"/>
        <v>StreamdeckInput.KEY_05: InputEventMap.KEY_2,</v>
      </c>
    </row>
    <row r="63" spans="1:9" x14ac:dyDescent="0.45">
      <c r="A63" t="s">
        <v>18</v>
      </c>
      <c r="B63" t="s">
        <v>48</v>
      </c>
      <c r="C63" t="s">
        <v>118</v>
      </c>
      <c r="D63">
        <v>7</v>
      </c>
      <c r="E63" t="str">
        <f t="shared" si="76"/>
        <v>toggle_mute</v>
      </c>
      <c r="F63" t="str">
        <f t="shared" si="77"/>
        <v>KEY_07</v>
      </c>
      <c r="G63" t="str">
        <f t="shared" si="78"/>
        <v>OnRecord-KEY_07-toggle_mute.png</v>
      </c>
      <c r="H63" t="str">
        <f t="shared" si="79"/>
        <v>InputEventMap.KEY_3</v>
      </c>
      <c r="I63" t="str">
        <f t="shared" si="80"/>
        <v>StreamdeckInput.KEY_07: InputEventMap.KEY_3,</v>
      </c>
    </row>
    <row r="64" spans="1:9" x14ac:dyDescent="0.45">
      <c r="A64" t="s">
        <v>18</v>
      </c>
      <c r="B64" t="s">
        <v>49</v>
      </c>
      <c r="C64" t="s">
        <v>119</v>
      </c>
      <c r="D64">
        <v>10</v>
      </c>
      <c r="E64" t="str">
        <f t="shared" si="76"/>
        <v>show_status</v>
      </c>
      <c r="F64" t="str">
        <f t="shared" si="77"/>
        <v>KEY_0A</v>
      </c>
      <c r="G64" t="str">
        <f t="shared" si="78"/>
        <v>OnRecord-KEY_0A-show_status.png</v>
      </c>
      <c r="H64" t="str">
        <f t="shared" si="79"/>
        <v>InputEventMap.KEY_4</v>
      </c>
      <c r="I64" t="str">
        <f t="shared" si="80"/>
        <v>StreamdeckInput.KEY_0A: InputEventMap.KEY_4,</v>
      </c>
    </row>
    <row r="65" spans="1:9" x14ac:dyDescent="0.45">
      <c r="A65" t="s">
        <v>29</v>
      </c>
      <c r="B65" t="s">
        <v>100</v>
      </c>
      <c r="C65" t="s">
        <v>120</v>
      </c>
      <c r="D65">
        <v>0</v>
      </c>
      <c r="E65" t="str">
        <f t="shared" si="76"/>
        <v>screen</v>
      </c>
      <c r="F65" t="str">
        <f t="shared" si="77"/>
        <v>KEY_00</v>
      </c>
      <c r="G65" t="str">
        <f t="shared" si="78"/>
        <v>PlaybackPaused-KEY_00-screen.png</v>
      </c>
      <c r="H65" t="str">
        <f t="shared" si="79"/>
        <v>InputEventMap.KEY_ASTERISK</v>
      </c>
      <c r="I65" t="str">
        <f t="shared" si="80"/>
        <v>StreamdeckInput.KEY_00: InputEventMap.KEY_ASTERISK,</v>
      </c>
    </row>
    <row r="66" spans="1:9" x14ac:dyDescent="0.45">
      <c r="A66" t="s">
        <v>29</v>
      </c>
      <c r="B66" t="s">
        <v>4</v>
      </c>
      <c r="C66" t="s">
        <v>89</v>
      </c>
      <c r="D66">
        <v>4</v>
      </c>
      <c r="E66" t="str">
        <f t="shared" ref="E66:E133" si="81">LOWER(
  TRIM(
    SUBSTITUTE(
      LEFT(B66, FIND(" = InputEventMap", B66) - 1),
      CHAR(160),
      " "
    )
  )
)</f>
        <v>help</v>
      </c>
      <c r="F66" t="str">
        <f t="shared" ref="F66:F133" si="82">"KEY_" &amp; CHOOSE(
    D66+1,
    "00","01","02","03","04","05","06","07","08","09","0A","0B","0C","0D","0E"
)</f>
        <v>KEY_04</v>
      </c>
      <c r="G66" t="str">
        <f t="shared" ref="G66:G133" si="83">_xlfn.CONCAT(A66, "-", F66, "-", E66, ".png")</f>
        <v>PlaybackPaused-KEY_04-help.png</v>
      </c>
      <c r="H66" t="str">
        <f t="shared" ref="H66:H133" si="84">MID(B66, FIND("InputEventMap", B66), LEN(B66))</f>
        <v>InputEventMap.KEY_ASTERISK</v>
      </c>
      <c r="I66" t="str">
        <f t="shared" ref="I66:I133" si="85">_xlfn.CONCAT("StreamdeckInput.", F66, ": ", H66, ",")</f>
        <v>StreamdeckInput.KEY_04: InputEventMap.KEY_ASTERISK,</v>
      </c>
    </row>
    <row r="67" spans="1:9" x14ac:dyDescent="0.45">
      <c r="A67" t="s">
        <v>29</v>
      </c>
      <c r="B67" t="s">
        <v>50</v>
      </c>
      <c r="C67" t="s">
        <v>113</v>
      </c>
      <c r="D67">
        <v>7</v>
      </c>
      <c r="E67" t="str">
        <f t="shared" si="81"/>
        <v>pause_resume</v>
      </c>
      <c r="F67" t="str">
        <f t="shared" si="82"/>
        <v>KEY_07</v>
      </c>
      <c r="G67" t="str">
        <f t="shared" si="83"/>
        <v>PlaybackPaused-KEY_07-pause_resume.png</v>
      </c>
      <c r="H67" t="str">
        <f t="shared" si="84"/>
        <v>InputEventMap.KEY_0</v>
      </c>
      <c r="I67" t="str">
        <f t="shared" si="85"/>
        <v>StreamdeckInput.KEY_07: InputEventMap.KEY_0,</v>
      </c>
    </row>
    <row r="68" spans="1:9" x14ac:dyDescent="0.45">
      <c r="A68" t="s">
        <v>29</v>
      </c>
      <c r="B68" t="s">
        <v>5</v>
      </c>
      <c r="C68" t="s">
        <v>98</v>
      </c>
      <c r="D68">
        <v>9</v>
      </c>
      <c r="E68" t="str">
        <f t="shared" si="81"/>
        <v>menu</v>
      </c>
      <c r="F68" t="str">
        <f t="shared" si="82"/>
        <v>KEY_09</v>
      </c>
      <c r="G68" t="str">
        <f t="shared" si="83"/>
        <v>PlaybackPaused-KEY_09-menu.png</v>
      </c>
      <c r="H68" t="str">
        <f t="shared" si="84"/>
        <v>InputEventMap.KEY_5</v>
      </c>
      <c r="I68" t="str">
        <f t="shared" si="85"/>
        <v>StreamdeckInput.KEY_09: InputEventMap.KEY_5,</v>
      </c>
    </row>
    <row r="69" spans="1:9" x14ac:dyDescent="0.45">
      <c r="A69" t="s">
        <v>28</v>
      </c>
      <c r="B69" t="s">
        <v>100</v>
      </c>
      <c r="C69" t="s">
        <v>120</v>
      </c>
      <c r="D69">
        <v>0</v>
      </c>
      <c r="E69" t="str">
        <f t="shared" ref="E69" si="86">LOWER(
  TRIM(
    SUBSTITUTE(
      LEFT(B69, FIND(" = InputEventMap", B69) - 1),
      CHAR(160),
      " "
    )
  )
)</f>
        <v>screen</v>
      </c>
      <c r="F69" t="str">
        <f t="shared" ref="F69" si="87">"KEY_" &amp; CHOOSE(
    D69+1,
    "00","01","02","03","04","05","06","07","08","09","0A","0B","0C","0D","0E"
)</f>
        <v>KEY_00</v>
      </c>
      <c r="G69" t="str">
        <f t="shared" ref="G69" si="88">_xlfn.CONCAT(A69, "-", F69, "-", E69, ".png")</f>
        <v>Playback-KEY_00-screen.png</v>
      </c>
      <c r="H69" t="str">
        <f t="shared" ref="H69" si="89">MID(B69, FIND("InputEventMap", B69), LEN(B69))</f>
        <v>InputEventMap.KEY_ASTERISK</v>
      </c>
      <c r="I69" t="str">
        <f t="shared" ref="I69" si="90">_xlfn.CONCAT("StreamdeckInput.", F69, ": ", H69, ",")</f>
        <v>StreamdeckInput.KEY_00: InputEventMap.KEY_ASTERISK,</v>
      </c>
    </row>
    <row r="70" spans="1:9" x14ac:dyDescent="0.45">
      <c r="A70" t="s">
        <v>28</v>
      </c>
      <c r="B70" t="s">
        <v>4</v>
      </c>
      <c r="C70" t="s">
        <v>89</v>
      </c>
      <c r="D70">
        <v>4</v>
      </c>
      <c r="E70" t="str">
        <f t="shared" si="81"/>
        <v>help</v>
      </c>
      <c r="F70" t="str">
        <f t="shared" si="82"/>
        <v>KEY_04</v>
      </c>
      <c r="G70" t="str">
        <f t="shared" si="83"/>
        <v>Playback-KEY_04-help.png</v>
      </c>
      <c r="H70" t="str">
        <f t="shared" si="84"/>
        <v>InputEventMap.KEY_ASTERISK</v>
      </c>
      <c r="I70" t="str">
        <f t="shared" si="85"/>
        <v>StreamdeckInput.KEY_04: InputEventMap.KEY_ASTERISK,</v>
      </c>
    </row>
    <row r="71" spans="1:9" x14ac:dyDescent="0.45">
      <c r="A71" t="s">
        <v>28</v>
      </c>
      <c r="B71" t="s">
        <v>50</v>
      </c>
      <c r="C71" t="s">
        <v>121</v>
      </c>
      <c r="D71">
        <v>7</v>
      </c>
      <c r="E71" t="str">
        <f t="shared" si="81"/>
        <v>pause_resume</v>
      </c>
      <c r="F71" t="str">
        <f t="shared" si="82"/>
        <v>KEY_07</v>
      </c>
      <c r="G71" t="str">
        <f t="shared" si="83"/>
        <v>Playback-KEY_07-pause_resume.png</v>
      </c>
      <c r="H71" t="str">
        <f t="shared" si="84"/>
        <v>InputEventMap.KEY_0</v>
      </c>
      <c r="I71" t="str">
        <f t="shared" si="85"/>
        <v>StreamdeckInput.KEY_07: InputEventMap.KEY_0,</v>
      </c>
    </row>
    <row r="72" spans="1:9" x14ac:dyDescent="0.45">
      <c r="A72" t="s">
        <v>28</v>
      </c>
      <c r="B72" t="s">
        <v>51</v>
      </c>
      <c r="C72" t="s">
        <v>122</v>
      </c>
      <c r="D72">
        <v>11</v>
      </c>
      <c r="E72" t="str">
        <f t="shared" si="81"/>
        <v>jump_clip_end</v>
      </c>
      <c r="F72" t="str">
        <f t="shared" si="82"/>
        <v>KEY_0B</v>
      </c>
      <c r="G72" t="str">
        <f t="shared" si="83"/>
        <v>Playback-KEY_0B-jump_clip_end.png</v>
      </c>
      <c r="H72" t="str">
        <f t="shared" si="84"/>
        <v>InputEventMap.KEY_1</v>
      </c>
      <c r="I72" t="str">
        <f t="shared" si="85"/>
        <v>StreamdeckInput.KEY_0B: InputEventMap.KEY_1,</v>
      </c>
    </row>
    <row r="73" spans="1:9" x14ac:dyDescent="0.45">
      <c r="A73" t="s">
        <v>28</v>
      </c>
      <c r="B73" t="s">
        <v>52</v>
      </c>
      <c r="C73" t="s">
        <v>123</v>
      </c>
      <c r="D73">
        <v>12</v>
      </c>
      <c r="E73" t="str">
        <f t="shared" si="81"/>
        <v>seek_next</v>
      </c>
      <c r="F73" t="str">
        <f t="shared" si="82"/>
        <v>KEY_0C</v>
      </c>
      <c r="G73" t="str">
        <f t="shared" si="83"/>
        <v>Playback-KEY_0C-seek_next.png</v>
      </c>
      <c r="H73" t="str">
        <f t="shared" si="84"/>
        <v>InputEventMap.KEY_2</v>
      </c>
      <c r="I73" t="str">
        <f t="shared" si="85"/>
        <v>StreamdeckInput.KEY_0C: InputEventMap.KEY_2,</v>
      </c>
    </row>
    <row r="74" spans="1:9" x14ac:dyDescent="0.45">
      <c r="A74" t="s">
        <v>28</v>
      </c>
      <c r="B74" t="s">
        <v>53</v>
      </c>
      <c r="C74" t="s">
        <v>124</v>
      </c>
      <c r="D74">
        <v>13</v>
      </c>
      <c r="E74" t="str">
        <f t="shared" si="81"/>
        <v>jump_cue_next</v>
      </c>
      <c r="F74" t="str">
        <f t="shared" si="82"/>
        <v>KEY_0D</v>
      </c>
      <c r="G74" t="str">
        <f t="shared" si="83"/>
        <v>Playback-KEY_0D-jump_cue_next.png</v>
      </c>
      <c r="H74" t="str">
        <f t="shared" si="84"/>
        <v>InputEventMap.KEY_3</v>
      </c>
      <c r="I74" t="str">
        <f t="shared" si="85"/>
        <v>StreamdeckInput.KEY_0D: InputEventMap.KEY_3,</v>
      </c>
    </row>
    <row r="75" spans="1:9" x14ac:dyDescent="0.45">
      <c r="A75" t="s">
        <v>28</v>
      </c>
      <c r="B75" t="s">
        <v>54</v>
      </c>
      <c r="C75" t="s">
        <v>126</v>
      </c>
      <c r="D75">
        <v>6</v>
      </c>
      <c r="E75" t="str">
        <f t="shared" si="81"/>
        <v>jump_clip_previous</v>
      </c>
      <c r="F75" t="str">
        <f t="shared" si="82"/>
        <v>KEY_06</v>
      </c>
      <c r="G75" t="str">
        <f t="shared" si="83"/>
        <v>Playback-KEY_06-jump_clip_previous.png</v>
      </c>
      <c r="H75" t="str">
        <f t="shared" si="84"/>
        <v>InputEventMap.KEY_4</v>
      </c>
      <c r="I75" t="str">
        <f t="shared" si="85"/>
        <v>StreamdeckInput.KEY_06: InputEventMap.KEY_4,</v>
      </c>
    </row>
    <row r="76" spans="1:9" x14ac:dyDescent="0.45">
      <c r="A76" t="s">
        <v>28</v>
      </c>
      <c r="B76" t="s">
        <v>5</v>
      </c>
      <c r="C76" t="s">
        <v>90</v>
      </c>
      <c r="D76">
        <v>9</v>
      </c>
      <c r="E76" t="str">
        <f t="shared" si="81"/>
        <v>menu</v>
      </c>
      <c r="F76" t="str">
        <f t="shared" si="82"/>
        <v>KEY_09</v>
      </c>
      <c r="G76" t="str">
        <f t="shared" si="83"/>
        <v>Playback-KEY_09-menu.png</v>
      </c>
      <c r="H76" t="str">
        <f t="shared" si="84"/>
        <v>InputEventMap.KEY_5</v>
      </c>
      <c r="I76" t="str">
        <f t="shared" si="85"/>
        <v>StreamdeckInput.KEY_09: InputEventMap.KEY_5,</v>
      </c>
    </row>
    <row r="77" spans="1:9" x14ac:dyDescent="0.45">
      <c r="A77" t="s">
        <v>28</v>
      </c>
      <c r="B77" t="s">
        <v>55</v>
      </c>
      <c r="C77" t="s">
        <v>127</v>
      </c>
      <c r="D77">
        <v>8</v>
      </c>
      <c r="E77" t="str">
        <f t="shared" si="81"/>
        <v>jump_clip_next</v>
      </c>
      <c r="F77" t="str">
        <f t="shared" si="82"/>
        <v>KEY_08</v>
      </c>
      <c r="G77" t="str">
        <f t="shared" si="83"/>
        <v>Playback-KEY_08-jump_clip_next.png</v>
      </c>
      <c r="H77" t="str">
        <f t="shared" si="84"/>
        <v>InputEventMap.KEY_6</v>
      </c>
      <c r="I77" t="str">
        <f t="shared" si="85"/>
        <v>StreamdeckInput.KEY_08: InputEventMap.KEY_6,</v>
      </c>
    </row>
    <row r="78" spans="1:9" x14ac:dyDescent="0.45">
      <c r="A78" t="s">
        <v>28</v>
      </c>
      <c r="B78" t="s">
        <v>56</v>
      </c>
      <c r="C78" t="s">
        <v>128</v>
      </c>
      <c r="D78">
        <v>1</v>
      </c>
      <c r="E78" t="str">
        <f t="shared" si="81"/>
        <v>jump_clip_start</v>
      </c>
      <c r="F78" t="str">
        <f t="shared" si="82"/>
        <v>KEY_01</v>
      </c>
      <c r="G78" t="str">
        <f t="shared" si="83"/>
        <v>Playback-KEY_01-jump_clip_start.png</v>
      </c>
      <c r="H78" t="str">
        <f t="shared" si="84"/>
        <v>InputEventMap.KEY_7</v>
      </c>
      <c r="I78" t="str">
        <f t="shared" si="85"/>
        <v>StreamdeckInput.KEY_01: InputEventMap.KEY_7,</v>
      </c>
    </row>
    <row r="79" spans="1:9" x14ac:dyDescent="0.45">
      <c r="A79" t="s">
        <v>28</v>
      </c>
      <c r="B79" t="s">
        <v>57</v>
      </c>
      <c r="C79" t="s">
        <v>129</v>
      </c>
      <c r="D79">
        <v>2</v>
      </c>
      <c r="E79" t="str">
        <f t="shared" si="81"/>
        <v>seek_previous</v>
      </c>
      <c r="F79" t="str">
        <f t="shared" si="82"/>
        <v>KEY_02</v>
      </c>
      <c r="G79" t="str">
        <f t="shared" si="83"/>
        <v>Playback-KEY_02-seek_previous.png</v>
      </c>
      <c r="H79" t="str">
        <f t="shared" si="84"/>
        <v>InputEventMap.KEY_8</v>
      </c>
      <c r="I79" t="str">
        <f t="shared" si="85"/>
        <v>StreamdeckInput.KEY_02: InputEventMap.KEY_8,</v>
      </c>
    </row>
    <row r="80" spans="1:9" x14ac:dyDescent="0.45">
      <c r="A80" t="s">
        <v>28</v>
      </c>
      <c r="B80" t="s">
        <v>58</v>
      </c>
      <c r="C80" t="s">
        <v>125</v>
      </c>
      <c r="D80">
        <v>3</v>
      </c>
      <c r="E80" t="str">
        <f t="shared" si="81"/>
        <v>jump_cue_previous</v>
      </c>
      <c r="F80" t="str">
        <f t="shared" si="82"/>
        <v>KEY_03</v>
      </c>
      <c r="G80" t="str">
        <f t="shared" si="83"/>
        <v>Playback-KEY_03-jump_cue_previous.png</v>
      </c>
      <c r="H80" t="str">
        <f t="shared" si="84"/>
        <v>InputEventMap.KEY_9</v>
      </c>
      <c r="I80" t="str">
        <f t="shared" si="85"/>
        <v>StreamdeckInput.KEY_03: InputEventMap.KEY_9,</v>
      </c>
    </row>
    <row r="81" spans="1:9" x14ac:dyDescent="0.45">
      <c r="A81" t="s">
        <v>24</v>
      </c>
      <c r="B81" t="s">
        <v>100</v>
      </c>
      <c r="C81" t="s">
        <v>130</v>
      </c>
      <c r="D81">
        <v>0</v>
      </c>
      <c r="E81" t="str">
        <f t="shared" ref="E81" si="91">LOWER(
  TRIM(
    SUBSTITUTE(
      LEFT(B81, FIND(" = InputEventMap", B81) - 1),
      CHAR(160),
      " "
    )
  )
)</f>
        <v>screen</v>
      </c>
      <c r="F81" t="str">
        <f t="shared" ref="F81" si="92">"KEY_" &amp; CHOOSE(
    D81+1,
    "00","01","02","03","04","05","06","07","08","09","0A","0B","0C","0D","0E"
)</f>
        <v>KEY_00</v>
      </c>
      <c r="G81" t="str">
        <f t="shared" ref="G81" si="93">_xlfn.CONCAT(A81, "-", F81, "-", E81, ".png")</f>
        <v>SelectLanguage-KEY_00-screen.png</v>
      </c>
      <c r="H81" t="str">
        <f t="shared" ref="H81" si="94">MID(B81, FIND("InputEventMap", B81), LEN(B81))</f>
        <v>InputEventMap.KEY_ASTERISK</v>
      </c>
      <c r="I81" t="str">
        <f t="shared" ref="I81" si="95">_xlfn.CONCAT("StreamdeckInput.", F81, ": ", H81, ",")</f>
        <v>StreamdeckInput.KEY_00: InputEventMap.KEY_ASTERISK,</v>
      </c>
    </row>
    <row r="82" spans="1:9" x14ac:dyDescent="0.45">
      <c r="A82" t="s">
        <v>24</v>
      </c>
      <c r="B82" t="s">
        <v>4</v>
      </c>
      <c r="C82" t="s">
        <v>89</v>
      </c>
      <c r="D82">
        <v>4</v>
      </c>
      <c r="E82" t="str">
        <f t="shared" si="81"/>
        <v>help</v>
      </c>
      <c r="F82" t="str">
        <f t="shared" si="82"/>
        <v>KEY_04</v>
      </c>
      <c r="G82" t="str">
        <f t="shared" si="83"/>
        <v>SelectLanguage-KEY_04-help.png</v>
      </c>
      <c r="H82" t="str">
        <f t="shared" si="84"/>
        <v>InputEventMap.KEY_ASTERISK</v>
      </c>
      <c r="I82" t="str">
        <f t="shared" si="85"/>
        <v>StreamdeckInput.KEY_04: InputEventMap.KEY_ASTERISK,</v>
      </c>
    </row>
    <row r="83" spans="1:9" x14ac:dyDescent="0.45">
      <c r="A83" t="s">
        <v>24</v>
      </c>
      <c r="B83" t="s">
        <v>59</v>
      </c>
      <c r="C83" t="s">
        <v>131</v>
      </c>
      <c r="D83">
        <v>5</v>
      </c>
      <c r="E83" t="str">
        <f t="shared" si="81"/>
        <v>select_english</v>
      </c>
      <c r="F83" t="str">
        <f t="shared" si="82"/>
        <v>KEY_05</v>
      </c>
      <c r="G83" t="str">
        <f t="shared" si="83"/>
        <v>SelectLanguage-KEY_05-select_english.png</v>
      </c>
      <c r="H83" t="str">
        <f t="shared" si="84"/>
        <v>InputEventMap.KEY_1</v>
      </c>
      <c r="I83" t="str">
        <f t="shared" si="85"/>
        <v>StreamdeckInput.KEY_05: InputEventMap.KEY_1,</v>
      </c>
    </row>
    <row r="84" spans="1:9" x14ac:dyDescent="0.45">
      <c r="A84" t="s">
        <v>24</v>
      </c>
      <c r="B84" t="s">
        <v>60</v>
      </c>
      <c r="C84" t="s">
        <v>132</v>
      </c>
      <c r="D84">
        <v>6</v>
      </c>
      <c r="E84" t="str">
        <f t="shared" si="81"/>
        <v>select_german</v>
      </c>
      <c r="F84" t="str">
        <f t="shared" si="82"/>
        <v>KEY_06</v>
      </c>
      <c r="G84" t="str">
        <f t="shared" si="83"/>
        <v>SelectLanguage-KEY_06-select_german.png</v>
      </c>
      <c r="H84" t="str">
        <f t="shared" si="84"/>
        <v>InputEventMap.KEY_2</v>
      </c>
      <c r="I84" t="str">
        <f t="shared" si="85"/>
        <v>StreamdeckInput.KEY_06: InputEventMap.KEY_2,</v>
      </c>
    </row>
    <row r="85" spans="1:9" x14ac:dyDescent="0.45">
      <c r="A85" t="s">
        <v>24</v>
      </c>
      <c r="B85" t="s">
        <v>61</v>
      </c>
      <c r="C85" t="s">
        <v>133</v>
      </c>
      <c r="D85">
        <v>7</v>
      </c>
      <c r="E85" t="str">
        <f t="shared" si="81"/>
        <v>select_french</v>
      </c>
      <c r="F85" t="str">
        <f t="shared" si="82"/>
        <v>KEY_07</v>
      </c>
      <c r="G85" t="str">
        <f t="shared" si="83"/>
        <v>SelectLanguage-KEY_07-select_french.png</v>
      </c>
      <c r="H85" t="str">
        <f t="shared" si="84"/>
        <v>InputEventMap.KEY_3</v>
      </c>
      <c r="I85" t="str">
        <f t="shared" si="85"/>
        <v>StreamdeckInput.KEY_07: InputEventMap.KEY_3,</v>
      </c>
    </row>
    <row r="86" spans="1:9" x14ac:dyDescent="0.45">
      <c r="A86" t="s">
        <v>24</v>
      </c>
      <c r="B86" t="s">
        <v>62</v>
      </c>
      <c r="C86" t="s">
        <v>134</v>
      </c>
      <c r="D86">
        <v>8</v>
      </c>
      <c r="E86" t="str">
        <f t="shared" si="81"/>
        <v>select_italian</v>
      </c>
      <c r="F86" t="str">
        <f t="shared" si="82"/>
        <v>KEY_08</v>
      </c>
      <c r="G86" t="str">
        <f t="shared" si="83"/>
        <v>SelectLanguage-KEY_08-select_italian.png</v>
      </c>
      <c r="H86" t="str">
        <f t="shared" si="84"/>
        <v>InputEventMap.KEY_4</v>
      </c>
      <c r="I86" t="str">
        <f t="shared" si="85"/>
        <v>StreamdeckInput.KEY_08: InputEventMap.KEY_4,</v>
      </c>
    </row>
    <row r="87" spans="1:9" x14ac:dyDescent="0.45">
      <c r="A87" t="s">
        <v>25</v>
      </c>
      <c r="B87" t="s">
        <v>100</v>
      </c>
      <c r="C87" t="s">
        <v>135</v>
      </c>
      <c r="D87">
        <v>0</v>
      </c>
      <c r="E87" t="str">
        <f t="shared" ref="E87" si="96">LOWER(
  TRIM(
    SUBSTITUTE(
      LEFT(B87, FIND(" = InputEventMap", B87) - 1),
      CHAR(160),
      " "
    )
  )
)</f>
        <v>screen</v>
      </c>
      <c r="F87" t="str">
        <f t="shared" ref="F87" si="97">"KEY_" &amp; CHOOSE(
    D87+1,
    "00","01","02","03","04","05","06","07","08","09","0A","0B","0C","0D","0E"
)</f>
        <v>KEY_00</v>
      </c>
      <c r="G87" t="str">
        <f t="shared" ref="G87" si="98">_xlfn.CONCAT(A87, "-", F87, "-", E87, ".png")</f>
        <v>SetDate-KEY_00-screen.png</v>
      </c>
      <c r="H87" t="str">
        <f t="shared" ref="H87" si="99">MID(B87, FIND("InputEventMap", B87), LEN(B87))</f>
        <v>InputEventMap.KEY_ASTERISK</v>
      </c>
      <c r="I87" t="str">
        <f t="shared" ref="I87" si="100">_xlfn.CONCAT("StreamdeckInput.", F87, ": ", H87, ",")</f>
        <v>StreamdeckInput.KEY_00: InputEventMap.KEY_ASTERISK,</v>
      </c>
    </row>
    <row r="88" spans="1:9" x14ac:dyDescent="0.45">
      <c r="A88" t="s">
        <v>25</v>
      </c>
      <c r="B88" t="s">
        <v>4</v>
      </c>
      <c r="C88" t="s">
        <v>89</v>
      </c>
      <c r="D88">
        <v>4</v>
      </c>
      <c r="E88" t="str">
        <f t="shared" si="81"/>
        <v>help</v>
      </c>
      <c r="F88" t="str">
        <f t="shared" si="82"/>
        <v>KEY_04</v>
      </c>
      <c r="G88" t="str">
        <f t="shared" si="83"/>
        <v>SetDate-KEY_04-help.png</v>
      </c>
      <c r="H88" t="str">
        <f t="shared" si="84"/>
        <v>InputEventMap.KEY_ASTERISK</v>
      </c>
      <c r="I88" t="str">
        <f t="shared" si="85"/>
        <v>StreamdeckInput.KEY_04: InputEventMap.KEY_ASTERISK,</v>
      </c>
    </row>
    <row r="89" spans="1:9" x14ac:dyDescent="0.45">
      <c r="A89" t="s">
        <v>25</v>
      </c>
      <c r="B89" t="s">
        <v>63</v>
      </c>
      <c r="C89" t="s">
        <v>136</v>
      </c>
      <c r="D89">
        <v>10</v>
      </c>
      <c r="E89" t="str">
        <f t="shared" si="81"/>
        <v>digit_0</v>
      </c>
      <c r="F89" t="str">
        <f t="shared" si="82"/>
        <v>KEY_0A</v>
      </c>
      <c r="G89" t="str">
        <f t="shared" si="83"/>
        <v>SetDate-KEY_0A-digit_0.png</v>
      </c>
      <c r="H89" t="str">
        <f t="shared" si="84"/>
        <v>InputEventMap.KEY_0</v>
      </c>
      <c r="I89" t="str">
        <f t="shared" si="85"/>
        <v>StreamdeckInput.KEY_0A: InputEventMap.KEY_0,</v>
      </c>
    </row>
    <row r="90" spans="1:9" x14ac:dyDescent="0.45">
      <c r="A90" t="s">
        <v>25</v>
      </c>
      <c r="B90" t="s">
        <v>64</v>
      </c>
      <c r="C90" t="s">
        <v>137</v>
      </c>
      <c r="D90">
        <v>11</v>
      </c>
      <c r="E90" t="str">
        <f t="shared" si="81"/>
        <v>digit_1</v>
      </c>
      <c r="F90" t="str">
        <f t="shared" si="82"/>
        <v>KEY_0B</v>
      </c>
      <c r="G90" t="str">
        <f t="shared" si="83"/>
        <v>SetDate-KEY_0B-digit_1.png</v>
      </c>
      <c r="H90" t="str">
        <f t="shared" si="84"/>
        <v>InputEventMap.KEY_1</v>
      </c>
      <c r="I90" t="str">
        <f t="shared" si="85"/>
        <v>StreamdeckInput.KEY_0B: InputEventMap.KEY_1,</v>
      </c>
    </row>
    <row r="91" spans="1:9" x14ac:dyDescent="0.45">
      <c r="A91" t="s">
        <v>25</v>
      </c>
      <c r="B91" t="s">
        <v>65</v>
      </c>
      <c r="C91" t="s">
        <v>138</v>
      </c>
      <c r="D91">
        <v>12</v>
      </c>
      <c r="E91" t="str">
        <f t="shared" si="81"/>
        <v>digit_2</v>
      </c>
      <c r="F91" t="str">
        <f t="shared" si="82"/>
        <v>KEY_0C</v>
      </c>
      <c r="G91" t="str">
        <f t="shared" si="83"/>
        <v>SetDate-KEY_0C-digit_2.png</v>
      </c>
      <c r="H91" t="str">
        <f t="shared" si="84"/>
        <v>InputEventMap.KEY_2</v>
      </c>
      <c r="I91" t="str">
        <f t="shared" si="85"/>
        <v>StreamdeckInput.KEY_0C: InputEventMap.KEY_2,</v>
      </c>
    </row>
    <row r="92" spans="1:9" x14ac:dyDescent="0.45">
      <c r="A92" t="s">
        <v>25</v>
      </c>
      <c r="B92" t="s">
        <v>66</v>
      </c>
      <c r="C92" t="s">
        <v>139</v>
      </c>
      <c r="D92">
        <v>13</v>
      </c>
      <c r="E92" t="str">
        <f t="shared" si="81"/>
        <v>digit_3</v>
      </c>
      <c r="F92" t="str">
        <f t="shared" si="82"/>
        <v>KEY_0D</v>
      </c>
      <c r="G92" t="str">
        <f t="shared" si="83"/>
        <v>SetDate-KEY_0D-digit_3.png</v>
      </c>
      <c r="H92" t="str">
        <f t="shared" si="84"/>
        <v>InputEventMap.KEY_3</v>
      </c>
      <c r="I92" t="str">
        <f t="shared" si="85"/>
        <v>StreamdeckInput.KEY_0D: InputEventMap.KEY_3,</v>
      </c>
    </row>
    <row r="93" spans="1:9" x14ac:dyDescent="0.45">
      <c r="A93" t="s">
        <v>25</v>
      </c>
      <c r="B93" t="s">
        <v>67</v>
      </c>
      <c r="C93" t="s">
        <v>140</v>
      </c>
      <c r="D93">
        <v>6</v>
      </c>
      <c r="E93" t="str">
        <f t="shared" si="81"/>
        <v>digit_4</v>
      </c>
      <c r="F93" t="str">
        <f t="shared" si="82"/>
        <v>KEY_06</v>
      </c>
      <c r="G93" t="str">
        <f t="shared" si="83"/>
        <v>SetDate-KEY_06-digit_4.png</v>
      </c>
      <c r="H93" t="str">
        <f t="shared" si="84"/>
        <v>InputEventMap.KEY_4</v>
      </c>
      <c r="I93" t="str">
        <f t="shared" si="85"/>
        <v>StreamdeckInput.KEY_06: InputEventMap.KEY_4,</v>
      </c>
    </row>
    <row r="94" spans="1:9" x14ac:dyDescent="0.45">
      <c r="A94" t="s">
        <v>25</v>
      </c>
      <c r="B94" t="s">
        <v>68</v>
      </c>
      <c r="C94" t="s">
        <v>141</v>
      </c>
      <c r="D94">
        <v>7</v>
      </c>
      <c r="E94" t="str">
        <f t="shared" si="81"/>
        <v>digit_5</v>
      </c>
      <c r="F94" t="str">
        <f t="shared" si="82"/>
        <v>KEY_07</v>
      </c>
      <c r="G94" t="str">
        <f t="shared" si="83"/>
        <v>SetDate-KEY_07-digit_5.png</v>
      </c>
      <c r="H94" t="str">
        <f t="shared" si="84"/>
        <v>InputEventMap.KEY_5</v>
      </c>
      <c r="I94" t="str">
        <f t="shared" si="85"/>
        <v>StreamdeckInput.KEY_07: InputEventMap.KEY_5,</v>
      </c>
    </row>
    <row r="95" spans="1:9" x14ac:dyDescent="0.45">
      <c r="A95" t="s">
        <v>25</v>
      </c>
      <c r="B95" t="s">
        <v>69</v>
      </c>
      <c r="C95" t="s">
        <v>142</v>
      </c>
      <c r="D95">
        <v>8</v>
      </c>
      <c r="E95" t="str">
        <f t="shared" si="81"/>
        <v>digit_6</v>
      </c>
      <c r="F95" t="str">
        <f t="shared" si="82"/>
        <v>KEY_08</v>
      </c>
      <c r="G95" t="str">
        <f t="shared" si="83"/>
        <v>SetDate-KEY_08-digit_6.png</v>
      </c>
      <c r="H95" t="str">
        <f t="shared" si="84"/>
        <v>InputEventMap.KEY_6</v>
      </c>
      <c r="I95" t="str">
        <f t="shared" si="85"/>
        <v>StreamdeckInput.KEY_08: InputEventMap.KEY_6,</v>
      </c>
    </row>
    <row r="96" spans="1:9" x14ac:dyDescent="0.45">
      <c r="A96" t="s">
        <v>25</v>
      </c>
      <c r="B96" t="s">
        <v>70</v>
      </c>
      <c r="C96" t="s">
        <v>143</v>
      </c>
      <c r="D96">
        <v>1</v>
      </c>
      <c r="E96" t="str">
        <f t="shared" si="81"/>
        <v>digit_7</v>
      </c>
      <c r="F96" t="str">
        <f t="shared" si="82"/>
        <v>KEY_01</v>
      </c>
      <c r="G96" t="str">
        <f t="shared" si="83"/>
        <v>SetDate-KEY_01-digit_7.png</v>
      </c>
      <c r="H96" t="str">
        <f t="shared" si="84"/>
        <v>InputEventMap.KEY_7</v>
      </c>
      <c r="I96" t="str">
        <f t="shared" si="85"/>
        <v>StreamdeckInput.KEY_01: InputEventMap.KEY_7,</v>
      </c>
    </row>
    <row r="97" spans="1:9" x14ac:dyDescent="0.45">
      <c r="A97" t="s">
        <v>25</v>
      </c>
      <c r="B97" t="s">
        <v>71</v>
      </c>
      <c r="C97" t="s">
        <v>144</v>
      </c>
      <c r="D97">
        <v>2</v>
      </c>
      <c r="E97" t="str">
        <f t="shared" si="81"/>
        <v>digit_8</v>
      </c>
      <c r="F97" t="str">
        <f t="shared" si="82"/>
        <v>KEY_02</v>
      </c>
      <c r="G97" t="str">
        <f t="shared" si="83"/>
        <v>SetDate-KEY_02-digit_8.png</v>
      </c>
      <c r="H97" t="str">
        <f t="shared" si="84"/>
        <v>InputEventMap.KEY_8</v>
      </c>
      <c r="I97" t="str">
        <f t="shared" si="85"/>
        <v>StreamdeckInput.KEY_02: InputEventMap.KEY_8,</v>
      </c>
    </row>
    <row r="98" spans="1:9" x14ac:dyDescent="0.45">
      <c r="A98" t="s">
        <v>25</v>
      </c>
      <c r="B98" t="s">
        <v>72</v>
      </c>
      <c r="C98" t="s">
        <v>145</v>
      </c>
      <c r="D98">
        <v>3</v>
      </c>
      <c r="E98" t="str">
        <f t="shared" si="81"/>
        <v>digit_9</v>
      </c>
      <c r="F98" t="str">
        <f t="shared" si="82"/>
        <v>KEY_03</v>
      </c>
      <c r="G98" t="str">
        <f t="shared" si="83"/>
        <v>SetDate-KEY_03-digit_9.png</v>
      </c>
      <c r="H98" t="str">
        <f t="shared" si="84"/>
        <v>InputEventMap.KEY_9</v>
      </c>
      <c r="I98" t="str">
        <f t="shared" si="85"/>
        <v>StreamdeckInput.KEY_03: InputEventMap.KEY_9,</v>
      </c>
    </row>
    <row r="99" spans="1:9" x14ac:dyDescent="0.45">
      <c r="A99" t="s">
        <v>25</v>
      </c>
      <c r="B99" t="s">
        <v>73</v>
      </c>
      <c r="C99" t="s">
        <v>146</v>
      </c>
      <c r="D99">
        <v>5</v>
      </c>
      <c r="E99" t="str">
        <f t="shared" si="81"/>
        <v>back_space</v>
      </c>
      <c r="F99" t="str">
        <f t="shared" si="82"/>
        <v>KEY_05</v>
      </c>
      <c r="G99" t="str">
        <f t="shared" si="83"/>
        <v>SetDate-KEY_05-back_space.png</v>
      </c>
      <c r="H99" t="str">
        <f t="shared" si="84"/>
        <v>InputEventMap.KEY_BACKSPACE</v>
      </c>
      <c r="I99" t="str">
        <f t="shared" si="85"/>
        <v>StreamdeckInput.KEY_05: InputEventMap.KEY_BACKSPACE,</v>
      </c>
    </row>
    <row r="100" spans="1:9" x14ac:dyDescent="0.45">
      <c r="A100" t="s">
        <v>25</v>
      </c>
      <c r="B100" t="s">
        <v>74</v>
      </c>
      <c r="C100" t="s">
        <v>147</v>
      </c>
      <c r="D100">
        <v>14</v>
      </c>
      <c r="E100" t="str">
        <f t="shared" si="81"/>
        <v>enter</v>
      </c>
      <c r="F100" t="str">
        <f t="shared" si="82"/>
        <v>KEY_0E</v>
      </c>
      <c r="G100" t="str">
        <f t="shared" si="83"/>
        <v>SetDate-KEY_0E-enter.png</v>
      </c>
      <c r="H100" t="str">
        <f t="shared" si="84"/>
        <v>InputEventMap.KEY_ENTER</v>
      </c>
      <c r="I100" t="str">
        <f t="shared" si="85"/>
        <v>StreamdeckInput.KEY_0E: InputEventMap.KEY_ENTER,</v>
      </c>
    </row>
    <row r="101" spans="1:9" x14ac:dyDescent="0.45">
      <c r="A101" t="s">
        <v>25</v>
      </c>
      <c r="B101" t="s">
        <v>75</v>
      </c>
      <c r="C101" t="s">
        <v>148</v>
      </c>
      <c r="D101">
        <v>9</v>
      </c>
      <c r="E101" t="str">
        <f t="shared" si="81"/>
        <v>jump_next</v>
      </c>
      <c r="F101" t="str">
        <f t="shared" si="82"/>
        <v>KEY_09</v>
      </c>
      <c r="G101" t="str">
        <f t="shared" si="83"/>
        <v>SetDate-KEY_09-jump_next.png</v>
      </c>
      <c r="H101" t="str">
        <f t="shared" si="84"/>
        <v>InputEventMap.KEY_TAB</v>
      </c>
      <c r="I101" t="str">
        <f t="shared" si="85"/>
        <v>StreamdeckInput.KEY_09: InputEventMap.KEY_TAB,</v>
      </c>
    </row>
    <row r="102" spans="1:9" x14ac:dyDescent="0.45">
      <c r="A102" t="s">
        <v>27</v>
      </c>
      <c r="B102" t="s">
        <v>100</v>
      </c>
      <c r="C102" t="s">
        <v>149</v>
      </c>
      <c r="D102">
        <v>0</v>
      </c>
      <c r="E102" t="str">
        <f t="shared" ref="E102" si="101">LOWER(
  TRIM(
    SUBSTITUTE(
      LEFT(B102, FIND(" = InputEventMap", B102) - 1),
      CHAR(160),
      " "
    )
  )
)</f>
        <v>screen</v>
      </c>
      <c r="F102" t="str">
        <f t="shared" ref="F102" si="102">"KEY_" &amp; CHOOSE(
    D102+1,
    "00","01","02","03","04","05","06","07","08","09","0A","0B","0C","0D","0E"
)</f>
        <v>KEY_00</v>
      </c>
      <c r="G102" t="str">
        <f t="shared" ref="G102" si="103">_xlfn.CONCAT(A102, "-", F102, "-", E102, ".png")</f>
        <v>SetName-KEY_00-screen.png</v>
      </c>
      <c r="H102" t="str">
        <f t="shared" ref="H102" si="104">MID(B102, FIND("InputEventMap", B102), LEN(B102))</f>
        <v>InputEventMap.KEY_ASTERISK</v>
      </c>
      <c r="I102" t="str">
        <f t="shared" ref="I102" si="105">_xlfn.CONCAT("StreamdeckInput.", F102, ": ", H102, ",")</f>
        <v>StreamdeckInput.KEY_00: InputEventMap.KEY_ASTERISK,</v>
      </c>
    </row>
    <row r="103" spans="1:9" x14ac:dyDescent="0.45">
      <c r="A103" t="s">
        <v>27</v>
      </c>
      <c r="B103" t="s">
        <v>4</v>
      </c>
      <c r="C103" t="s">
        <v>89</v>
      </c>
      <c r="D103">
        <v>4</v>
      </c>
      <c r="E103" t="str">
        <f t="shared" si="81"/>
        <v>help</v>
      </c>
      <c r="F103" t="str">
        <f t="shared" si="82"/>
        <v>KEY_04</v>
      </c>
      <c r="G103" t="str">
        <f t="shared" si="83"/>
        <v>SetName-KEY_04-help.png</v>
      </c>
      <c r="H103" t="str">
        <f t="shared" si="84"/>
        <v>InputEventMap.KEY_ASTERISK</v>
      </c>
      <c r="I103" t="str">
        <f t="shared" si="85"/>
        <v>StreamdeckInput.KEY_04: InputEventMap.KEY_ASTERISK,</v>
      </c>
    </row>
    <row r="104" spans="1:9" x14ac:dyDescent="0.45">
      <c r="A104" t="s">
        <v>27</v>
      </c>
      <c r="B104" t="s">
        <v>63</v>
      </c>
      <c r="C104" t="s">
        <v>136</v>
      </c>
      <c r="D104">
        <v>10</v>
      </c>
      <c r="E104" t="str">
        <f t="shared" si="81"/>
        <v>digit_0</v>
      </c>
      <c r="F104" t="str">
        <f t="shared" si="82"/>
        <v>KEY_0A</v>
      </c>
      <c r="G104" t="str">
        <f t="shared" si="83"/>
        <v>SetName-KEY_0A-digit_0.png</v>
      </c>
      <c r="H104" t="str">
        <f t="shared" si="84"/>
        <v>InputEventMap.KEY_0</v>
      </c>
      <c r="I104" t="str">
        <f t="shared" si="85"/>
        <v>StreamdeckInput.KEY_0A: InputEventMap.KEY_0,</v>
      </c>
    </row>
    <row r="105" spans="1:9" x14ac:dyDescent="0.45">
      <c r="A105" t="s">
        <v>27</v>
      </c>
      <c r="B105" t="s">
        <v>64</v>
      </c>
      <c r="C105" t="s">
        <v>137</v>
      </c>
      <c r="D105">
        <v>11</v>
      </c>
      <c r="E105" t="str">
        <f t="shared" si="81"/>
        <v>digit_1</v>
      </c>
      <c r="F105" t="str">
        <f t="shared" si="82"/>
        <v>KEY_0B</v>
      </c>
      <c r="G105" t="str">
        <f t="shared" si="83"/>
        <v>SetName-KEY_0B-digit_1.png</v>
      </c>
      <c r="H105" t="str">
        <f t="shared" si="84"/>
        <v>InputEventMap.KEY_1</v>
      </c>
      <c r="I105" t="str">
        <f t="shared" si="85"/>
        <v>StreamdeckInput.KEY_0B: InputEventMap.KEY_1,</v>
      </c>
    </row>
    <row r="106" spans="1:9" x14ac:dyDescent="0.45">
      <c r="A106" t="s">
        <v>27</v>
      </c>
      <c r="B106" t="s">
        <v>65</v>
      </c>
      <c r="C106" t="s">
        <v>138</v>
      </c>
      <c r="D106">
        <v>12</v>
      </c>
      <c r="E106" t="str">
        <f t="shared" si="81"/>
        <v>digit_2</v>
      </c>
      <c r="F106" t="str">
        <f t="shared" si="82"/>
        <v>KEY_0C</v>
      </c>
      <c r="G106" t="str">
        <f t="shared" si="83"/>
        <v>SetName-KEY_0C-digit_2.png</v>
      </c>
      <c r="H106" t="str">
        <f t="shared" si="84"/>
        <v>InputEventMap.KEY_2</v>
      </c>
      <c r="I106" t="str">
        <f t="shared" si="85"/>
        <v>StreamdeckInput.KEY_0C: InputEventMap.KEY_2,</v>
      </c>
    </row>
    <row r="107" spans="1:9" x14ac:dyDescent="0.45">
      <c r="A107" t="s">
        <v>27</v>
      </c>
      <c r="B107" t="s">
        <v>66</v>
      </c>
      <c r="C107" t="s">
        <v>139</v>
      </c>
      <c r="D107">
        <v>13</v>
      </c>
      <c r="E107" t="str">
        <f t="shared" si="81"/>
        <v>digit_3</v>
      </c>
      <c r="F107" t="str">
        <f t="shared" si="82"/>
        <v>KEY_0D</v>
      </c>
      <c r="G107" t="str">
        <f t="shared" si="83"/>
        <v>SetName-KEY_0D-digit_3.png</v>
      </c>
      <c r="H107" t="str">
        <f t="shared" si="84"/>
        <v>InputEventMap.KEY_3</v>
      </c>
      <c r="I107" t="str">
        <f t="shared" si="85"/>
        <v>StreamdeckInput.KEY_0D: InputEventMap.KEY_3,</v>
      </c>
    </row>
    <row r="108" spans="1:9" x14ac:dyDescent="0.45">
      <c r="A108" t="s">
        <v>27</v>
      </c>
      <c r="B108" t="s">
        <v>67</v>
      </c>
      <c r="C108" t="s">
        <v>140</v>
      </c>
      <c r="D108">
        <v>6</v>
      </c>
      <c r="E108" t="str">
        <f t="shared" si="81"/>
        <v>digit_4</v>
      </c>
      <c r="F108" t="str">
        <f t="shared" si="82"/>
        <v>KEY_06</v>
      </c>
      <c r="G108" t="str">
        <f t="shared" si="83"/>
        <v>SetName-KEY_06-digit_4.png</v>
      </c>
      <c r="H108" t="str">
        <f t="shared" si="84"/>
        <v>InputEventMap.KEY_4</v>
      </c>
      <c r="I108" t="str">
        <f t="shared" si="85"/>
        <v>StreamdeckInput.KEY_06: InputEventMap.KEY_4,</v>
      </c>
    </row>
    <row r="109" spans="1:9" x14ac:dyDescent="0.45">
      <c r="A109" t="s">
        <v>27</v>
      </c>
      <c r="B109" t="s">
        <v>68</v>
      </c>
      <c r="C109" t="s">
        <v>141</v>
      </c>
      <c r="D109">
        <v>7</v>
      </c>
      <c r="E109" t="str">
        <f t="shared" si="81"/>
        <v>digit_5</v>
      </c>
      <c r="F109" t="str">
        <f t="shared" si="82"/>
        <v>KEY_07</v>
      </c>
      <c r="G109" t="str">
        <f t="shared" si="83"/>
        <v>SetName-KEY_07-digit_5.png</v>
      </c>
      <c r="H109" t="str">
        <f t="shared" si="84"/>
        <v>InputEventMap.KEY_5</v>
      </c>
      <c r="I109" t="str">
        <f t="shared" si="85"/>
        <v>StreamdeckInput.KEY_07: InputEventMap.KEY_5,</v>
      </c>
    </row>
    <row r="110" spans="1:9" x14ac:dyDescent="0.45">
      <c r="A110" t="s">
        <v>27</v>
      </c>
      <c r="B110" t="s">
        <v>69</v>
      </c>
      <c r="C110" t="s">
        <v>142</v>
      </c>
      <c r="D110">
        <v>8</v>
      </c>
      <c r="E110" t="str">
        <f t="shared" si="81"/>
        <v>digit_6</v>
      </c>
      <c r="F110" t="str">
        <f t="shared" si="82"/>
        <v>KEY_08</v>
      </c>
      <c r="G110" t="str">
        <f t="shared" si="83"/>
        <v>SetName-KEY_08-digit_6.png</v>
      </c>
      <c r="H110" t="str">
        <f t="shared" si="84"/>
        <v>InputEventMap.KEY_6</v>
      </c>
      <c r="I110" t="str">
        <f t="shared" si="85"/>
        <v>StreamdeckInput.KEY_08: InputEventMap.KEY_6,</v>
      </c>
    </row>
    <row r="111" spans="1:9" x14ac:dyDescent="0.45">
      <c r="A111" t="s">
        <v>27</v>
      </c>
      <c r="B111" t="s">
        <v>70</v>
      </c>
      <c r="C111" t="s">
        <v>143</v>
      </c>
      <c r="D111">
        <v>1</v>
      </c>
      <c r="E111" t="str">
        <f t="shared" si="81"/>
        <v>digit_7</v>
      </c>
      <c r="F111" t="str">
        <f t="shared" si="82"/>
        <v>KEY_01</v>
      </c>
      <c r="G111" t="str">
        <f t="shared" si="83"/>
        <v>SetName-KEY_01-digit_7.png</v>
      </c>
      <c r="H111" t="str">
        <f t="shared" si="84"/>
        <v>InputEventMap.KEY_7</v>
      </c>
      <c r="I111" t="str">
        <f t="shared" si="85"/>
        <v>StreamdeckInput.KEY_01: InputEventMap.KEY_7,</v>
      </c>
    </row>
    <row r="112" spans="1:9" x14ac:dyDescent="0.45">
      <c r="A112" t="s">
        <v>27</v>
      </c>
      <c r="B112" t="s">
        <v>71</v>
      </c>
      <c r="C112" t="s">
        <v>144</v>
      </c>
      <c r="D112">
        <v>2</v>
      </c>
      <c r="E112" t="str">
        <f t="shared" si="81"/>
        <v>digit_8</v>
      </c>
      <c r="F112" t="str">
        <f t="shared" si="82"/>
        <v>KEY_02</v>
      </c>
      <c r="G112" t="str">
        <f t="shared" si="83"/>
        <v>SetName-KEY_02-digit_8.png</v>
      </c>
      <c r="H112" t="str">
        <f t="shared" si="84"/>
        <v>InputEventMap.KEY_8</v>
      </c>
      <c r="I112" t="str">
        <f t="shared" si="85"/>
        <v>StreamdeckInput.KEY_02: InputEventMap.KEY_8,</v>
      </c>
    </row>
    <row r="113" spans="1:9" x14ac:dyDescent="0.45">
      <c r="A113" t="s">
        <v>27</v>
      </c>
      <c r="B113" t="s">
        <v>72</v>
      </c>
      <c r="C113" t="s">
        <v>145</v>
      </c>
      <c r="D113">
        <v>3</v>
      </c>
      <c r="E113" t="str">
        <f t="shared" si="81"/>
        <v>digit_9</v>
      </c>
      <c r="F113" t="str">
        <f t="shared" si="82"/>
        <v>KEY_03</v>
      </c>
      <c r="G113" t="str">
        <f t="shared" si="83"/>
        <v>SetName-KEY_03-digit_9.png</v>
      </c>
      <c r="H113" t="str">
        <f t="shared" si="84"/>
        <v>InputEventMap.KEY_9</v>
      </c>
      <c r="I113" t="str">
        <f t="shared" si="85"/>
        <v>StreamdeckInput.KEY_03: InputEventMap.KEY_9,</v>
      </c>
    </row>
    <row r="114" spans="1:9" x14ac:dyDescent="0.45">
      <c r="A114" t="s">
        <v>27</v>
      </c>
      <c r="B114" t="s">
        <v>73</v>
      </c>
      <c r="C114" t="s">
        <v>146</v>
      </c>
      <c r="D114">
        <v>5</v>
      </c>
      <c r="E114" t="str">
        <f t="shared" si="81"/>
        <v>back_space</v>
      </c>
      <c r="F114" t="str">
        <f t="shared" si="82"/>
        <v>KEY_05</v>
      </c>
      <c r="G114" t="str">
        <f t="shared" si="83"/>
        <v>SetName-KEY_05-back_space.png</v>
      </c>
      <c r="H114" t="str">
        <f t="shared" si="84"/>
        <v>InputEventMap.KEY_BACKSPACE</v>
      </c>
      <c r="I114" t="str">
        <f t="shared" si="85"/>
        <v>StreamdeckInput.KEY_05: InputEventMap.KEY_BACKSPACE,</v>
      </c>
    </row>
    <row r="115" spans="1:9" x14ac:dyDescent="0.45">
      <c r="A115" t="s">
        <v>27</v>
      </c>
      <c r="B115" t="s">
        <v>74</v>
      </c>
      <c r="C115" t="s">
        <v>147</v>
      </c>
      <c r="D115">
        <v>14</v>
      </c>
      <c r="E115" t="str">
        <f t="shared" si="81"/>
        <v>enter</v>
      </c>
      <c r="F115" t="str">
        <f t="shared" si="82"/>
        <v>KEY_0E</v>
      </c>
      <c r="G115" t="str">
        <f t="shared" si="83"/>
        <v>SetName-KEY_0E-enter.png</v>
      </c>
      <c r="H115" t="str">
        <f t="shared" si="84"/>
        <v>InputEventMap.KEY_ENTER</v>
      </c>
      <c r="I115" t="str">
        <f t="shared" si="85"/>
        <v>StreamdeckInput.KEY_0E: InputEventMap.KEY_ENTER,</v>
      </c>
    </row>
    <row r="116" spans="1:9" x14ac:dyDescent="0.45">
      <c r="A116" t="s">
        <v>27</v>
      </c>
      <c r="B116" t="s">
        <v>75</v>
      </c>
      <c r="C116" t="s">
        <v>148</v>
      </c>
      <c r="D116">
        <v>9</v>
      </c>
      <c r="E116" t="str">
        <f t="shared" si="81"/>
        <v>jump_next</v>
      </c>
      <c r="F116" t="str">
        <f t="shared" si="82"/>
        <v>KEY_09</v>
      </c>
      <c r="G116" t="str">
        <f t="shared" si="83"/>
        <v>SetName-KEY_09-jump_next.png</v>
      </c>
      <c r="H116" t="str">
        <f t="shared" si="84"/>
        <v>InputEventMap.KEY_TAB</v>
      </c>
      <c r="I116" t="str">
        <f t="shared" si="85"/>
        <v>StreamdeckInput.KEY_09: InputEventMap.KEY_TAB,</v>
      </c>
    </row>
    <row r="117" spans="1:9" x14ac:dyDescent="0.45">
      <c r="A117" t="s">
        <v>26</v>
      </c>
      <c r="B117" t="s">
        <v>100</v>
      </c>
      <c r="C117" t="s">
        <v>150</v>
      </c>
      <c r="D117">
        <v>0</v>
      </c>
      <c r="E117" t="str">
        <f t="shared" ref="E117" si="106">LOWER(
  TRIM(
    SUBSTITUTE(
      LEFT(B117, FIND(" = InputEventMap", B117) - 1),
      CHAR(160),
      " "
    )
  )
)</f>
        <v>screen</v>
      </c>
      <c r="F117" t="str">
        <f t="shared" ref="F117" si="107">"KEY_" &amp; CHOOSE(
    D117+1,
    "00","01","02","03","04","05","06","07","08","09","0A","0B","0C","0D","0E"
)</f>
        <v>KEY_00</v>
      </c>
      <c r="G117" t="str">
        <f t="shared" ref="G117" si="108">_xlfn.CONCAT(A117, "-", F117, "-", E117, ".png")</f>
        <v>SetTime-KEY_00-screen.png</v>
      </c>
      <c r="H117" t="str">
        <f t="shared" ref="H117" si="109">MID(B117, FIND("InputEventMap", B117), LEN(B117))</f>
        <v>InputEventMap.KEY_ASTERISK</v>
      </c>
      <c r="I117" t="str">
        <f t="shared" ref="I117" si="110">_xlfn.CONCAT("StreamdeckInput.", F117, ": ", H117, ",")</f>
        <v>StreamdeckInput.KEY_00: InputEventMap.KEY_ASTERISK,</v>
      </c>
    </row>
    <row r="118" spans="1:9" x14ac:dyDescent="0.45">
      <c r="A118" t="s">
        <v>26</v>
      </c>
      <c r="B118" t="s">
        <v>4</v>
      </c>
      <c r="C118" t="s">
        <v>89</v>
      </c>
      <c r="D118">
        <v>4</v>
      </c>
      <c r="E118" t="str">
        <f t="shared" si="81"/>
        <v>help</v>
      </c>
      <c r="F118" t="str">
        <f t="shared" si="82"/>
        <v>KEY_04</v>
      </c>
      <c r="G118" t="str">
        <f t="shared" si="83"/>
        <v>SetTime-KEY_04-help.png</v>
      </c>
      <c r="H118" t="str">
        <f t="shared" si="84"/>
        <v>InputEventMap.KEY_ASTERISK</v>
      </c>
      <c r="I118" t="str">
        <f t="shared" si="85"/>
        <v>StreamdeckInput.KEY_04: InputEventMap.KEY_ASTERISK,</v>
      </c>
    </row>
    <row r="119" spans="1:9" x14ac:dyDescent="0.45">
      <c r="A119" t="s">
        <v>26</v>
      </c>
      <c r="B119" t="s">
        <v>63</v>
      </c>
      <c r="C119" t="s">
        <v>136</v>
      </c>
      <c r="D119">
        <v>10</v>
      </c>
      <c r="E119" t="str">
        <f t="shared" si="81"/>
        <v>digit_0</v>
      </c>
      <c r="F119" t="str">
        <f t="shared" si="82"/>
        <v>KEY_0A</v>
      </c>
      <c r="G119" t="str">
        <f t="shared" si="83"/>
        <v>SetTime-KEY_0A-digit_0.png</v>
      </c>
      <c r="H119" t="str">
        <f t="shared" si="84"/>
        <v>InputEventMap.KEY_0</v>
      </c>
      <c r="I119" t="str">
        <f t="shared" si="85"/>
        <v>StreamdeckInput.KEY_0A: InputEventMap.KEY_0,</v>
      </c>
    </row>
    <row r="120" spans="1:9" x14ac:dyDescent="0.45">
      <c r="A120" t="s">
        <v>26</v>
      </c>
      <c r="B120" t="s">
        <v>64</v>
      </c>
      <c r="C120" t="s">
        <v>137</v>
      </c>
      <c r="D120">
        <v>11</v>
      </c>
      <c r="E120" t="str">
        <f t="shared" si="81"/>
        <v>digit_1</v>
      </c>
      <c r="F120" t="str">
        <f t="shared" si="82"/>
        <v>KEY_0B</v>
      </c>
      <c r="G120" t="str">
        <f t="shared" si="83"/>
        <v>SetTime-KEY_0B-digit_1.png</v>
      </c>
      <c r="H120" t="str">
        <f t="shared" si="84"/>
        <v>InputEventMap.KEY_1</v>
      </c>
      <c r="I120" t="str">
        <f t="shared" si="85"/>
        <v>StreamdeckInput.KEY_0B: InputEventMap.KEY_1,</v>
      </c>
    </row>
    <row r="121" spans="1:9" x14ac:dyDescent="0.45">
      <c r="A121" t="s">
        <v>26</v>
      </c>
      <c r="B121" t="s">
        <v>65</v>
      </c>
      <c r="C121" t="s">
        <v>138</v>
      </c>
      <c r="D121">
        <v>12</v>
      </c>
      <c r="E121" t="str">
        <f t="shared" si="81"/>
        <v>digit_2</v>
      </c>
      <c r="F121" t="str">
        <f t="shared" si="82"/>
        <v>KEY_0C</v>
      </c>
      <c r="G121" t="str">
        <f t="shared" si="83"/>
        <v>SetTime-KEY_0C-digit_2.png</v>
      </c>
      <c r="H121" t="str">
        <f t="shared" si="84"/>
        <v>InputEventMap.KEY_2</v>
      </c>
      <c r="I121" t="str">
        <f t="shared" si="85"/>
        <v>StreamdeckInput.KEY_0C: InputEventMap.KEY_2,</v>
      </c>
    </row>
    <row r="122" spans="1:9" x14ac:dyDescent="0.45">
      <c r="A122" t="s">
        <v>26</v>
      </c>
      <c r="B122" t="s">
        <v>66</v>
      </c>
      <c r="C122" t="s">
        <v>139</v>
      </c>
      <c r="D122">
        <v>13</v>
      </c>
      <c r="E122" t="str">
        <f t="shared" si="81"/>
        <v>digit_3</v>
      </c>
      <c r="F122" t="str">
        <f t="shared" si="82"/>
        <v>KEY_0D</v>
      </c>
      <c r="G122" t="str">
        <f t="shared" si="83"/>
        <v>SetTime-KEY_0D-digit_3.png</v>
      </c>
      <c r="H122" t="str">
        <f t="shared" si="84"/>
        <v>InputEventMap.KEY_3</v>
      </c>
      <c r="I122" t="str">
        <f t="shared" si="85"/>
        <v>StreamdeckInput.KEY_0D: InputEventMap.KEY_3,</v>
      </c>
    </row>
    <row r="123" spans="1:9" x14ac:dyDescent="0.45">
      <c r="A123" t="s">
        <v>26</v>
      </c>
      <c r="B123" t="s">
        <v>67</v>
      </c>
      <c r="C123" t="s">
        <v>140</v>
      </c>
      <c r="D123">
        <v>6</v>
      </c>
      <c r="E123" t="str">
        <f t="shared" si="81"/>
        <v>digit_4</v>
      </c>
      <c r="F123" t="str">
        <f t="shared" si="82"/>
        <v>KEY_06</v>
      </c>
      <c r="G123" t="str">
        <f t="shared" si="83"/>
        <v>SetTime-KEY_06-digit_4.png</v>
      </c>
      <c r="H123" t="str">
        <f t="shared" si="84"/>
        <v>InputEventMap.KEY_4</v>
      </c>
      <c r="I123" t="str">
        <f t="shared" si="85"/>
        <v>StreamdeckInput.KEY_06: InputEventMap.KEY_4,</v>
      </c>
    </row>
    <row r="124" spans="1:9" x14ac:dyDescent="0.45">
      <c r="A124" t="s">
        <v>26</v>
      </c>
      <c r="B124" t="s">
        <v>68</v>
      </c>
      <c r="C124" t="s">
        <v>141</v>
      </c>
      <c r="D124">
        <v>7</v>
      </c>
      <c r="E124" t="str">
        <f t="shared" si="81"/>
        <v>digit_5</v>
      </c>
      <c r="F124" t="str">
        <f t="shared" si="82"/>
        <v>KEY_07</v>
      </c>
      <c r="G124" t="str">
        <f t="shared" si="83"/>
        <v>SetTime-KEY_07-digit_5.png</v>
      </c>
      <c r="H124" t="str">
        <f t="shared" si="84"/>
        <v>InputEventMap.KEY_5</v>
      </c>
      <c r="I124" t="str">
        <f t="shared" si="85"/>
        <v>StreamdeckInput.KEY_07: InputEventMap.KEY_5,</v>
      </c>
    </row>
    <row r="125" spans="1:9" x14ac:dyDescent="0.45">
      <c r="A125" t="s">
        <v>26</v>
      </c>
      <c r="B125" t="s">
        <v>69</v>
      </c>
      <c r="C125" t="s">
        <v>142</v>
      </c>
      <c r="D125">
        <v>8</v>
      </c>
      <c r="E125" t="str">
        <f t="shared" si="81"/>
        <v>digit_6</v>
      </c>
      <c r="F125" t="str">
        <f t="shared" si="82"/>
        <v>KEY_08</v>
      </c>
      <c r="G125" t="str">
        <f t="shared" si="83"/>
        <v>SetTime-KEY_08-digit_6.png</v>
      </c>
      <c r="H125" t="str">
        <f t="shared" si="84"/>
        <v>InputEventMap.KEY_6</v>
      </c>
      <c r="I125" t="str">
        <f t="shared" si="85"/>
        <v>StreamdeckInput.KEY_08: InputEventMap.KEY_6,</v>
      </c>
    </row>
    <row r="126" spans="1:9" x14ac:dyDescent="0.45">
      <c r="A126" t="s">
        <v>26</v>
      </c>
      <c r="B126" t="s">
        <v>70</v>
      </c>
      <c r="C126" t="s">
        <v>143</v>
      </c>
      <c r="D126">
        <v>1</v>
      </c>
      <c r="E126" t="str">
        <f t="shared" si="81"/>
        <v>digit_7</v>
      </c>
      <c r="F126" t="str">
        <f t="shared" si="82"/>
        <v>KEY_01</v>
      </c>
      <c r="G126" t="str">
        <f t="shared" si="83"/>
        <v>SetTime-KEY_01-digit_7.png</v>
      </c>
      <c r="H126" t="str">
        <f t="shared" si="84"/>
        <v>InputEventMap.KEY_7</v>
      </c>
      <c r="I126" t="str">
        <f t="shared" si="85"/>
        <v>StreamdeckInput.KEY_01: InputEventMap.KEY_7,</v>
      </c>
    </row>
    <row r="127" spans="1:9" x14ac:dyDescent="0.45">
      <c r="A127" t="s">
        <v>26</v>
      </c>
      <c r="B127" t="s">
        <v>71</v>
      </c>
      <c r="C127" t="s">
        <v>144</v>
      </c>
      <c r="D127">
        <v>2</v>
      </c>
      <c r="E127" t="str">
        <f t="shared" si="81"/>
        <v>digit_8</v>
      </c>
      <c r="F127" t="str">
        <f t="shared" si="82"/>
        <v>KEY_02</v>
      </c>
      <c r="G127" t="str">
        <f t="shared" si="83"/>
        <v>SetTime-KEY_02-digit_8.png</v>
      </c>
      <c r="H127" t="str">
        <f t="shared" si="84"/>
        <v>InputEventMap.KEY_8</v>
      </c>
      <c r="I127" t="str">
        <f t="shared" si="85"/>
        <v>StreamdeckInput.KEY_02: InputEventMap.KEY_8,</v>
      </c>
    </row>
    <row r="128" spans="1:9" x14ac:dyDescent="0.45">
      <c r="A128" t="s">
        <v>26</v>
      </c>
      <c r="B128" t="s">
        <v>72</v>
      </c>
      <c r="C128" t="s">
        <v>145</v>
      </c>
      <c r="D128">
        <v>3</v>
      </c>
      <c r="E128" t="str">
        <f t="shared" si="81"/>
        <v>digit_9</v>
      </c>
      <c r="F128" t="str">
        <f t="shared" si="82"/>
        <v>KEY_03</v>
      </c>
      <c r="G128" t="str">
        <f t="shared" si="83"/>
        <v>SetTime-KEY_03-digit_9.png</v>
      </c>
      <c r="H128" t="str">
        <f t="shared" si="84"/>
        <v>InputEventMap.KEY_9</v>
      </c>
      <c r="I128" t="str">
        <f t="shared" si="85"/>
        <v>StreamdeckInput.KEY_03: InputEventMap.KEY_9,</v>
      </c>
    </row>
    <row r="129" spans="1:9" x14ac:dyDescent="0.45">
      <c r="A129" t="s">
        <v>26</v>
      </c>
      <c r="B129" t="s">
        <v>73</v>
      </c>
      <c r="C129" t="s">
        <v>146</v>
      </c>
      <c r="D129">
        <v>5</v>
      </c>
      <c r="E129" t="str">
        <f t="shared" si="81"/>
        <v>back_space</v>
      </c>
      <c r="F129" t="str">
        <f t="shared" si="82"/>
        <v>KEY_05</v>
      </c>
      <c r="G129" t="str">
        <f t="shared" si="83"/>
        <v>SetTime-KEY_05-back_space.png</v>
      </c>
      <c r="H129" t="str">
        <f t="shared" si="84"/>
        <v>InputEventMap.KEY_BACKSPACE</v>
      </c>
      <c r="I129" t="str">
        <f t="shared" si="85"/>
        <v>StreamdeckInput.KEY_05: InputEventMap.KEY_BACKSPACE,</v>
      </c>
    </row>
    <row r="130" spans="1:9" x14ac:dyDescent="0.45">
      <c r="A130" t="s">
        <v>26</v>
      </c>
      <c r="B130" t="s">
        <v>74</v>
      </c>
      <c r="C130" t="s">
        <v>147</v>
      </c>
      <c r="D130">
        <v>14</v>
      </c>
      <c r="E130" t="str">
        <f t="shared" si="81"/>
        <v>enter</v>
      </c>
      <c r="F130" t="str">
        <f t="shared" si="82"/>
        <v>KEY_0E</v>
      </c>
      <c r="G130" t="str">
        <f t="shared" si="83"/>
        <v>SetTime-KEY_0E-enter.png</v>
      </c>
      <c r="H130" t="str">
        <f t="shared" si="84"/>
        <v>InputEventMap.KEY_ENTER</v>
      </c>
      <c r="I130" t="str">
        <f t="shared" si="85"/>
        <v>StreamdeckInput.KEY_0E: InputEventMap.KEY_ENTER,</v>
      </c>
    </row>
    <row r="131" spans="1:9" x14ac:dyDescent="0.45">
      <c r="A131" t="s">
        <v>26</v>
      </c>
      <c r="B131" t="s">
        <v>75</v>
      </c>
      <c r="C131" t="s">
        <v>148</v>
      </c>
      <c r="D131">
        <v>9</v>
      </c>
      <c r="E131" t="str">
        <f t="shared" si="81"/>
        <v>jump_next</v>
      </c>
      <c r="F131" t="str">
        <f t="shared" si="82"/>
        <v>KEY_09</v>
      </c>
      <c r="G131" t="str">
        <f t="shared" si="83"/>
        <v>SetTime-KEY_09-jump_next.png</v>
      </c>
      <c r="H131" t="str">
        <f t="shared" si="84"/>
        <v>InputEventMap.KEY_TAB</v>
      </c>
      <c r="I131" t="str">
        <f t="shared" si="85"/>
        <v>StreamdeckInput.KEY_09: InputEventMap.KEY_TAB,</v>
      </c>
    </row>
    <row r="132" spans="1:9" x14ac:dyDescent="0.45">
      <c r="A132" t="s">
        <v>30</v>
      </c>
      <c r="B132" t="s">
        <v>100</v>
      </c>
      <c r="C132" t="s">
        <v>151</v>
      </c>
      <c r="D132">
        <v>0</v>
      </c>
      <c r="E132" t="str">
        <f t="shared" ref="E132" si="111">LOWER(
  TRIM(
    SUBSTITUTE(
      LEFT(B132, FIND(" = InputEventMap", B132) - 1),
      CHAR(160),
      " "
    )
  )
)</f>
        <v>screen</v>
      </c>
      <c r="F132" t="str">
        <f t="shared" ref="F132" si="112">"KEY_" &amp; CHOOSE(
    D132+1,
    "00","01","02","03","04","05","06","07","08","09","0A","0B","0C","0D","0E"
)</f>
        <v>KEY_00</v>
      </c>
      <c r="G132" t="str">
        <f t="shared" ref="G132" si="113">_xlfn.CONCAT(A132, "-", F132, "-", E132, ".png")</f>
        <v>StorageManagement-KEY_00-screen.png</v>
      </c>
      <c r="H132" t="str">
        <f t="shared" ref="H132" si="114">MID(B132, FIND("InputEventMap", B132), LEN(B132))</f>
        <v>InputEventMap.KEY_ASTERISK</v>
      </c>
      <c r="I132" t="str">
        <f t="shared" ref="I132" si="115">_xlfn.CONCAT("StreamdeckInput.", F132, ": ", H132, ",")</f>
        <v>StreamdeckInput.KEY_00: InputEventMap.KEY_ASTERISK,</v>
      </c>
    </row>
    <row r="133" spans="1:9" x14ac:dyDescent="0.45">
      <c r="A133" t="s">
        <v>30</v>
      </c>
      <c r="B133" t="s">
        <v>4</v>
      </c>
      <c r="C133" t="s">
        <v>89</v>
      </c>
      <c r="D133">
        <v>4</v>
      </c>
      <c r="E133" t="str">
        <f t="shared" si="81"/>
        <v>help</v>
      </c>
      <c r="F133" t="str">
        <f t="shared" si="82"/>
        <v>KEY_04</v>
      </c>
      <c r="G133" t="str">
        <f t="shared" si="83"/>
        <v>StorageManagement-KEY_04-help.png</v>
      </c>
      <c r="H133" t="str">
        <f t="shared" si="84"/>
        <v>InputEventMap.KEY_ASTERISK</v>
      </c>
      <c r="I133" t="str">
        <f t="shared" si="85"/>
        <v>StreamdeckInput.KEY_04: InputEventMap.KEY_ASTERISK,</v>
      </c>
    </row>
    <row r="134" spans="1:9" x14ac:dyDescent="0.45">
      <c r="A134" t="s">
        <v>30</v>
      </c>
      <c r="B134" t="s">
        <v>5</v>
      </c>
      <c r="C134" t="s">
        <v>90</v>
      </c>
      <c r="D134">
        <v>9</v>
      </c>
      <c r="E134" t="str">
        <f t="shared" ref="E134:E149" si="116">LOWER(
  TRIM(
    SUBSTITUTE(
      LEFT(B134, FIND(" = InputEventMap", B134) - 1),
      CHAR(160),
      " "
    )
  )
)</f>
        <v>menu</v>
      </c>
      <c r="F134" t="str">
        <f t="shared" ref="F134:F149" si="117">"KEY_" &amp; CHOOSE(
    D134+1,
    "00","01","02","03","04","05","06","07","08","09","0A","0B","0C","0D","0E"
)</f>
        <v>KEY_09</v>
      </c>
      <c r="G134" t="str">
        <f t="shared" ref="G134:G149" si="118">_xlfn.CONCAT(A134, "-", F134, "-", E134, ".png")</f>
        <v>StorageManagement-KEY_09-menu.png</v>
      </c>
      <c r="H134" t="str">
        <f t="shared" ref="H134:H149" si="119">MID(B134, FIND("InputEventMap", B134), LEN(B134))</f>
        <v>InputEventMap.KEY_5</v>
      </c>
      <c r="I134" t="str">
        <f t="shared" ref="I134:I149" si="120">_xlfn.CONCAT("StreamdeckInput.", F134, ": ", H134, ",")</f>
        <v>StreamdeckInput.KEY_09: InputEventMap.KEY_5,</v>
      </c>
    </row>
    <row r="135" spans="1:9" x14ac:dyDescent="0.45">
      <c r="A135" t="s">
        <v>30</v>
      </c>
      <c r="B135" t="s">
        <v>76</v>
      </c>
      <c r="C135" t="s">
        <v>152</v>
      </c>
      <c r="D135">
        <v>5</v>
      </c>
      <c r="E135" t="str">
        <f t="shared" si="116"/>
        <v>disconnect_storage</v>
      </c>
      <c r="F135" t="str">
        <f t="shared" si="117"/>
        <v>KEY_05</v>
      </c>
      <c r="G135" t="str">
        <f t="shared" si="118"/>
        <v>StorageManagement-KEY_05-disconnect_storage.png</v>
      </c>
      <c r="H135" t="str">
        <f t="shared" si="119"/>
        <v>InputEventMap.KEY_0</v>
      </c>
      <c r="I135" t="str">
        <f t="shared" si="120"/>
        <v>StreamdeckInput.KEY_05: InputEventMap.KEY_0,</v>
      </c>
    </row>
    <row r="136" spans="1:9" x14ac:dyDescent="0.45">
      <c r="A136" t="s">
        <v>30</v>
      </c>
      <c r="B136" t="s">
        <v>77</v>
      </c>
      <c r="C136" t="s">
        <v>93</v>
      </c>
      <c r="D136">
        <v>1</v>
      </c>
      <c r="E136" t="str">
        <f t="shared" si="116"/>
        <v>detect_rc1</v>
      </c>
      <c r="F136" t="str">
        <f t="shared" si="117"/>
        <v>KEY_01</v>
      </c>
      <c r="G136" t="str">
        <f t="shared" si="118"/>
        <v>StorageManagement-KEY_01-detect_rc1.png</v>
      </c>
      <c r="H136" t="str">
        <f t="shared" si="119"/>
        <v>InputEventMap.KEY_1</v>
      </c>
      <c r="I136" t="str">
        <f t="shared" si="120"/>
        <v>StreamdeckInput.KEY_01: InputEventMap.KEY_1,</v>
      </c>
    </row>
    <row r="137" spans="1:9" x14ac:dyDescent="0.45">
      <c r="A137" t="s">
        <v>30</v>
      </c>
      <c r="B137" t="s">
        <v>78</v>
      </c>
      <c r="C137" t="s">
        <v>93</v>
      </c>
      <c r="D137">
        <v>2</v>
      </c>
      <c r="E137" t="str">
        <f t="shared" si="116"/>
        <v>detect_rc2</v>
      </c>
      <c r="F137" t="str">
        <f t="shared" si="117"/>
        <v>KEY_02</v>
      </c>
      <c r="G137" t="str">
        <f t="shared" si="118"/>
        <v>StorageManagement-KEY_02-detect_rc2.png</v>
      </c>
      <c r="H137" t="str">
        <f t="shared" si="119"/>
        <v>InputEventMap.KEY_3</v>
      </c>
      <c r="I137" t="str">
        <f t="shared" si="120"/>
        <v>StreamdeckInput.KEY_02: InputEventMap.KEY_3,</v>
      </c>
    </row>
    <row r="138" spans="1:9" x14ac:dyDescent="0.45">
      <c r="A138" t="s">
        <v>30</v>
      </c>
      <c r="B138" t="s">
        <v>79</v>
      </c>
      <c r="C138" t="s">
        <v>94</v>
      </c>
      <c r="D138">
        <v>6</v>
      </c>
      <c r="E138" t="str">
        <f t="shared" si="116"/>
        <v>format_rc1</v>
      </c>
      <c r="F138" t="str">
        <f t="shared" si="117"/>
        <v>KEY_06</v>
      </c>
      <c r="G138" t="str">
        <f t="shared" si="118"/>
        <v>StorageManagement-KEY_06-format_rc1.png</v>
      </c>
      <c r="H138" t="str">
        <f t="shared" si="119"/>
        <v>InputEventMap.KEY_4</v>
      </c>
      <c r="I138" t="str">
        <f t="shared" si="120"/>
        <v>StreamdeckInput.KEY_06: InputEventMap.KEY_4,</v>
      </c>
    </row>
    <row r="139" spans="1:9" x14ac:dyDescent="0.45">
      <c r="A139" t="s">
        <v>30</v>
      </c>
      <c r="B139" t="s">
        <v>80</v>
      </c>
      <c r="C139" t="s">
        <v>94</v>
      </c>
      <c r="D139">
        <v>7</v>
      </c>
      <c r="E139" t="str">
        <f t="shared" si="116"/>
        <v>format_rc2</v>
      </c>
      <c r="F139" t="str">
        <f t="shared" si="117"/>
        <v>KEY_07</v>
      </c>
      <c r="G139" t="str">
        <f t="shared" si="118"/>
        <v>StorageManagement-KEY_07-format_rc2.png</v>
      </c>
      <c r="H139" t="str">
        <f t="shared" si="119"/>
        <v>InputEventMap.KEY_6</v>
      </c>
      <c r="I139" t="str">
        <f t="shared" si="120"/>
        <v>StreamdeckInput.KEY_07: InputEventMap.KEY_6,</v>
      </c>
    </row>
    <row r="140" spans="1:9" x14ac:dyDescent="0.45">
      <c r="A140" t="s">
        <v>30</v>
      </c>
      <c r="B140" t="s">
        <v>81</v>
      </c>
      <c r="C140" t="s">
        <v>97</v>
      </c>
      <c r="D140">
        <v>11</v>
      </c>
      <c r="E140" t="str">
        <f t="shared" si="116"/>
        <v>clean_rc1</v>
      </c>
      <c r="F140" t="str">
        <f t="shared" si="117"/>
        <v>KEY_0B</v>
      </c>
      <c r="G140" t="str">
        <f t="shared" si="118"/>
        <v>StorageManagement-KEY_0B-clean_rc1.png</v>
      </c>
      <c r="H140" t="str">
        <f t="shared" si="119"/>
        <v>InputEventMap.KEY_7</v>
      </c>
      <c r="I140" t="str">
        <f t="shared" si="120"/>
        <v>StreamdeckInput.KEY_0B: InputEventMap.KEY_7,</v>
      </c>
    </row>
    <row r="141" spans="1:9" x14ac:dyDescent="0.45">
      <c r="A141" t="s">
        <v>30</v>
      </c>
      <c r="B141" t="s">
        <v>82</v>
      </c>
      <c r="C141" t="s">
        <v>97</v>
      </c>
      <c r="D141">
        <v>12</v>
      </c>
      <c r="E141" t="str">
        <f t="shared" si="116"/>
        <v>clean_rc2</v>
      </c>
      <c r="F141" t="str">
        <f t="shared" si="117"/>
        <v>KEY_0C</v>
      </c>
      <c r="G141" t="str">
        <f t="shared" si="118"/>
        <v>StorageManagement-KEY_0C-clean_rc2.png</v>
      </c>
      <c r="H141" t="str">
        <f t="shared" si="119"/>
        <v>InputEventMap.KEY_9</v>
      </c>
      <c r="I141" t="str">
        <f t="shared" si="120"/>
        <v>StreamdeckInput.KEY_0C: InputEventMap.KEY_9,</v>
      </c>
    </row>
    <row r="142" spans="1:9" x14ac:dyDescent="0.45">
      <c r="A142" t="s">
        <v>8</v>
      </c>
      <c r="B142" t="s">
        <v>100</v>
      </c>
      <c r="C142" t="s">
        <v>153</v>
      </c>
      <c r="D142">
        <v>0</v>
      </c>
      <c r="E142" t="str">
        <f t="shared" ref="E142" si="121">LOWER(
  TRIM(
    SUBSTITUTE(
      LEFT(B142, FIND(" = InputEventMap", B142) - 1),
      CHAR(160),
      " "
    )
  )
)</f>
        <v>screen</v>
      </c>
      <c r="F142" t="str">
        <f t="shared" ref="F142" si="122">"KEY_" &amp; CHOOSE(
    D142+1,
    "00","01","02","03","04","05","06","07","08","09","0A","0B","0C","0D","0E"
)</f>
        <v>KEY_00</v>
      </c>
      <c r="G142" t="str">
        <f t="shared" ref="G142" si="123">_xlfn.CONCAT(A142, "-", F142, "-", E142, ".png")</f>
        <v>System-KEY_00-screen.png</v>
      </c>
      <c r="H142" t="str">
        <f t="shared" ref="H142" si="124">MID(B142, FIND("InputEventMap", B142), LEN(B142))</f>
        <v>InputEventMap.KEY_ASTERISK</v>
      </c>
      <c r="I142" t="str">
        <f t="shared" ref="I142" si="125">_xlfn.CONCAT("StreamdeckInput.", F142, ": ", H142, ",")</f>
        <v>StreamdeckInput.KEY_00: InputEventMap.KEY_ASTERISK,</v>
      </c>
    </row>
    <row r="143" spans="1:9" x14ac:dyDescent="0.45">
      <c r="A143" t="s">
        <v>8</v>
      </c>
      <c r="B143" t="s">
        <v>4</v>
      </c>
      <c r="C143" t="s">
        <v>89</v>
      </c>
      <c r="D143">
        <v>4</v>
      </c>
      <c r="E143" t="str">
        <f t="shared" si="116"/>
        <v>help</v>
      </c>
      <c r="F143" t="str">
        <f t="shared" si="117"/>
        <v>KEY_04</v>
      </c>
      <c r="G143" t="str">
        <f t="shared" si="118"/>
        <v>System-KEY_04-help.png</v>
      </c>
      <c r="H143" t="str">
        <f t="shared" si="119"/>
        <v>InputEventMap.KEY_ASTERISK</v>
      </c>
      <c r="I143" t="str">
        <f t="shared" si="120"/>
        <v>StreamdeckInput.KEY_04: InputEventMap.KEY_ASTERISK,</v>
      </c>
    </row>
    <row r="144" spans="1:9" x14ac:dyDescent="0.45">
      <c r="A144" t="s">
        <v>8</v>
      </c>
      <c r="B144" t="s">
        <v>83</v>
      </c>
      <c r="C144" t="s">
        <v>98</v>
      </c>
      <c r="D144">
        <v>9</v>
      </c>
      <c r="E144" t="str">
        <f t="shared" si="116"/>
        <v>select_main</v>
      </c>
      <c r="F144" t="str">
        <f t="shared" si="117"/>
        <v>KEY_09</v>
      </c>
      <c r="G144" t="str">
        <f t="shared" si="118"/>
        <v>System-KEY_09-select_main.png</v>
      </c>
      <c r="H144" t="str">
        <f t="shared" si="119"/>
        <v>InputEventMap.KEY_1</v>
      </c>
      <c r="I144" t="str">
        <f t="shared" si="120"/>
        <v>StreamdeckInput.KEY_09: InputEventMap.KEY_1,</v>
      </c>
    </row>
    <row r="145" spans="1:9" x14ac:dyDescent="0.45">
      <c r="A145" t="s">
        <v>8</v>
      </c>
      <c r="B145" t="s">
        <v>84</v>
      </c>
      <c r="C145" t="s">
        <v>154</v>
      </c>
      <c r="D145">
        <v>6</v>
      </c>
      <c r="E145" t="str">
        <f t="shared" si="116"/>
        <v>select_language</v>
      </c>
      <c r="F145" t="str">
        <f t="shared" si="117"/>
        <v>KEY_06</v>
      </c>
      <c r="G145" t="str">
        <f t="shared" si="118"/>
        <v>System-KEY_06-select_language.png</v>
      </c>
      <c r="H145" t="str">
        <f t="shared" si="119"/>
        <v>InputEventMap.KEY_2</v>
      </c>
      <c r="I145" t="str">
        <f t="shared" si="120"/>
        <v>StreamdeckInput.KEY_06: InputEventMap.KEY_2,</v>
      </c>
    </row>
    <row r="146" spans="1:9" x14ac:dyDescent="0.45">
      <c r="A146" t="s">
        <v>8</v>
      </c>
      <c r="B146" t="s">
        <v>85</v>
      </c>
      <c r="C146" t="s">
        <v>155</v>
      </c>
      <c r="D146">
        <v>7</v>
      </c>
      <c r="E146" t="str">
        <f t="shared" si="116"/>
        <v>select_storage</v>
      </c>
      <c r="F146" t="str">
        <f t="shared" si="117"/>
        <v>KEY_07</v>
      </c>
      <c r="G146" t="str">
        <f t="shared" si="118"/>
        <v>System-KEY_07-select_storage.png</v>
      </c>
      <c r="H146" t="str">
        <f t="shared" si="119"/>
        <v>InputEventMap.KEY_3</v>
      </c>
      <c r="I146" t="str">
        <f t="shared" si="120"/>
        <v>StreamdeckInput.KEY_07: InputEventMap.KEY_3,</v>
      </c>
    </row>
    <row r="147" spans="1:9" x14ac:dyDescent="0.45">
      <c r="A147" t="s">
        <v>8</v>
      </c>
      <c r="B147" t="s">
        <v>86</v>
      </c>
      <c r="C147" t="s">
        <v>156</v>
      </c>
      <c r="D147">
        <v>11</v>
      </c>
      <c r="E147" t="str">
        <f t="shared" si="116"/>
        <v>set_date</v>
      </c>
      <c r="F147" t="str">
        <f t="shared" si="117"/>
        <v>KEY_0B</v>
      </c>
      <c r="G147" t="str">
        <f t="shared" si="118"/>
        <v>System-KEY_0B-set_date.png</v>
      </c>
      <c r="H147" t="str">
        <f t="shared" si="119"/>
        <v>InputEventMap.KEY_4</v>
      </c>
      <c r="I147" t="str">
        <f t="shared" si="120"/>
        <v>StreamdeckInput.KEY_0B: InputEventMap.KEY_4,</v>
      </c>
    </row>
    <row r="148" spans="1:9" x14ac:dyDescent="0.45">
      <c r="A148" t="s">
        <v>8</v>
      </c>
      <c r="B148" t="s">
        <v>87</v>
      </c>
      <c r="C148" t="s">
        <v>157</v>
      </c>
      <c r="D148">
        <v>12</v>
      </c>
      <c r="E148" t="str">
        <f t="shared" si="116"/>
        <v>set_time</v>
      </c>
      <c r="F148" t="str">
        <f t="shared" si="117"/>
        <v>KEY_0C</v>
      </c>
      <c r="G148" t="str">
        <f t="shared" si="118"/>
        <v>System-KEY_0C-set_time.png</v>
      </c>
      <c r="H148" t="str">
        <f t="shared" si="119"/>
        <v>InputEventMap.KEY_6</v>
      </c>
      <c r="I148" t="str">
        <f t="shared" si="120"/>
        <v>StreamdeckInput.KEY_0C: InputEventMap.KEY_6,</v>
      </c>
    </row>
    <row r="149" spans="1:9" x14ac:dyDescent="0.45">
      <c r="A149" t="s">
        <v>8</v>
      </c>
      <c r="B149" t="s">
        <v>45</v>
      </c>
      <c r="C149" t="s">
        <v>104</v>
      </c>
      <c r="D149">
        <v>14</v>
      </c>
      <c r="E149" t="str">
        <f t="shared" si="116"/>
        <v>stop_system</v>
      </c>
      <c r="F149" t="str">
        <f t="shared" si="117"/>
        <v>KEY_0E</v>
      </c>
      <c r="G149" t="str">
        <f t="shared" si="118"/>
        <v>System-KEY_0E-stop_system.png</v>
      </c>
      <c r="H149" t="str">
        <f t="shared" si="119"/>
        <v>InputEventMap.KEY_9</v>
      </c>
      <c r="I149" t="str">
        <f t="shared" si="120"/>
        <v>StreamdeckInput.KEY_0E: InputEventMap.KEY_9,</v>
      </c>
    </row>
  </sheetData>
  <autoFilter ref="A1:I149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2025-12-28T19:50:19Z</dcterms:modified>
</cp:coreProperties>
</file>