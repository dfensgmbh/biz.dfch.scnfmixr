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rene\src\biz.dfch.PhoneTap\prep\"/>
    </mc:Choice>
  </mc:AlternateContent>
  <xr:revisionPtr revIDLastSave="0" documentId="13_ncr:1_{0473574E-D905-409E-B807-3108B255E694}" xr6:coauthVersionLast="47" xr6:coauthVersionMax="47" xr10:uidLastSave="{00000000-0000-0000-0000-000000000000}"/>
  <bookViews>
    <workbookView xWindow="-98" yWindow="-98" windowWidth="21795" windowHeight="13875" xr2:uid="{4419FAFA-D280-4090-97B7-CB07F6B7BE6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2" i="1"/>
  <c r="F18" i="1"/>
  <c r="G18" i="1" s="1"/>
  <c r="F19" i="1"/>
  <c r="G19" i="1" s="1"/>
  <c r="F20" i="1"/>
  <c r="G20" i="1" s="1"/>
  <c r="F21" i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" i="1"/>
  <c r="G3" i="1" s="1"/>
  <c r="F4" i="1"/>
  <c r="F5" i="1"/>
  <c r="F6" i="1"/>
  <c r="F7" i="1"/>
  <c r="F8" i="1"/>
  <c r="F9" i="1"/>
  <c r="F10" i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I21" i="1" s="1"/>
  <c r="H22" i="1"/>
  <c r="I22" i="1" s="1"/>
  <c r="H23" i="1"/>
  <c r="I23" i="1" s="1"/>
  <c r="H24" i="1"/>
  <c r="H25" i="1"/>
  <c r="H26" i="1"/>
  <c r="H27" i="1"/>
  <c r="H28" i="1"/>
  <c r="H29" i="1"/>
  <c r="H30" i="1"/>
  <c r="H31" i="1"/>
  <c r="H2" i="1"/>
  <c r="G5" i="1"/>
  <c r="G6" i="1"/>
  <c r="G7" i="1"/>
  <c r="G21" i="1"/>
  <c r="G9" i="1" l="1"/>
  <c r="I10" i="1"/>
  <c r="G8" i="1"/>
  <c r="I30" i="1"/>
  <c r="I27" i="1"/>
  <c r="I26" i="1"/>
  <c r="I18" i="1"/>
  <c r="I25" i="1"/>
  <c r="G4" i="1"/>
  <c r="I24" i="1"/>
  <c r="I15" i="1"/>
  <c r="I3" i="1"/>
  <c r="I20" i="1"/>
  <c r="I31" i="1"/>
  <c r="I19" i="1"/>
  <c r="G2" i="1"/>
  <c r="I6" i="1"/>
  <c r="G10" i="1"/>
  <c r="I16" i="1"/>
  <c r="I4" i="1"/>
  <c r="I29" i="1"/>
  <c r="I28" i="1"/>
  <c r="I14" i="1"/>
  <c r="I12" i="1"/>
  <c r="I9" i="1"/>
  <c r="I8" i="1"/>
  <c r="I13" i="1"/>
  <c r="I11" i="1"/>
  <c r="I7" i="1"/>
  <c r="I17" i="1"/>
  <c r="I5" i="1"/>
  <c r="I2" i="1"/>
</calcChain>
</file>

<file path=xl/sharedStrings.xml><?xml version="1.0" encoding="utf-8"?>
<sst xmlns="http://schemas.openxmlformats.org/spreadsheetml/2006/main" count="33" uniqueCount="32">
  <si>
    <t>States</t>
  </si>
  <si>
    <t>playback</t>
  </si>
  <si>
    <t>select_language</t>
  </si>
  <si>
    <t>set_date</t>
  </si>
  <si>
    <t>set_name</t>
  </si>
  <si>
    <t>set_time</t>
  </si>
  <si>
    <t>storage_management</t>
  </si>
  <si>
    <t>Icons</t>
  </si>
  <si>
    <t>Action</t>
  </si>
  <si>
    <t>StreamdeckKey</t>
  </si>
  <si>
    <t>ic_fluent_lightbulb_48_regular.svg</t>
  </si>
  <si>
    <t>ic_fluent_settings_48_regular.svg</t>
  </si>
  <si>
    <t>        HELP = InputEventMap.KEY_ASTERISK</t>
  </si>
  <si>
    <t>        MENU = InputEventMap.KEY_5</t>
  </si>
  <si>
    <t>FinalState</t>
  </si>
  <si>
    <t>Main</t>
  </si>
  <si>
    <t>System</t>
  </si>
  <si>
    <t>InitialiseLcl</t>
  </si>
  <si>
    <t>InitialiseHi1</t>
  </si>
  <si>
    <t>InitialiseHi2</t>
  </si>
  <si>
    <t>InitialiseHi3</t>
  </si>
  <si>
    <t>InitialiseEx1</t>
  </si>
  <si>
    <t>InitialiseEx2</t>
  </si>
  <si>
    <t>InitialiseAudio</t>
  </si>
  <si>
    <t>InitialiseRc1</t>
  </si>
  <si>
    <t>InitialiseRc2</t>
  </si>
  <si>
    <t>OnRecord</t>
  </si>
  <si>
    <t>ImageFileName</t>
  </si>
  <si>
    <t>KeyMapping</t>
  </si>
  <si>
    <t>Short</t>
  </si>
  <si>
    <t>Mnemonic</t>
  </si>
  <si>
    <t>KeyNumber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</si>
</sst>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61C0B-96C3-4FC0-B828-7FD785B358D7}">
  <dimension ref="A1:I31"/>
  <sheetViews>
    <sheetView tabSelected="1" workbookViewId="0">
      <selection activeCell="D4" sqref="D4"/>
    </sheetView>
  </sheetViews>
  <sheetFormatPr defaultRowHeight="14.25" x14ac:dyDescent="0.45"/>
  <cols>
    <col min="1" max="1" width="17.73046875" bestFit="1" customWidth="1"/>
    <col min="2" max="2" width="32.9296875" bestFit="1" customWidth="1"/>
    <col min="3" max="3" width="35.86328125" customWidth="1"/>
    <col min="4" max="5" width="13.1328125" customWidth="1"/>
    <col min="6" max="6" width="17.9296875" customWidth="1"/>
    <col min="7" max="7" width="22.53125" bestFit="1" customWidth="1"/>
    <col min="8" max="8" width="24.33203125" bestFit="1" customWidth="1"/>
    <col min="9" max="9" width="45.796875" bestFit="1" customWidth="1"/>
  </cols>
  <sheetData>
    <row r="1" spans="1:9" s="1" customFormat="1" x14ac:dyDescent="0.45">
      <c r="A1" s="1" t="s">
        <v>0</v>
      </c>
      <c r="B1" s="1" t="s">
        <v>8</v>
      </c>
      <c r="C1" s="1" t="s">
        <v>7</v>
      </c>
      <c r="D1" s="1" t="s">
        <v>31</v>
      </c>
      <c r="E1" s="1" t="s">
        <v>30</v>
      </c>
      <c r="F1" s="1" t="s">
        <v>9</v>
      </c>
      <c r="G1" s="1" t="s">
        <v>27</v>
      </c>
      <c r="H1" s="1" t="s">
        <v>29</v>
      </c>
      <c r="I1" s="1" t="s">
        <v>28</v>
      </c>
    </row>
    <row r="2" spans="1:9" x14ac:dyDescent="0.45">
      <c r="A2" t="s">
        <v>14</v>
      </c>
      <c r="B2" t="s">
        <v>12</v>
      </c>
      <c r="C2" t="s">
        <v>10</v>
      </c>
      <c r="D2">
        <v>4</v>
      </c>
      <c r="E2" t="str">
        <f>LOWER(
  TRIM(
    SUBSTITUTE(
      LEFT(B2, FIND(" = InputEventMap", B2) - 1),
      CHAR(160),
      " "
    )
  )
)</f>
        <v>help</v>
      </c>
      <c r="F2" t="str">
        <f>"KEY_" &amp; CHOOSE(
    D2+1,
    "00","01","02","03","04","05","06","07","08","09","0A","0B","0C","0D","0E"
)</f>
        <v>KEY_04</v>
      </c>
      <c r="G2" t="str">
        <f>_xlfn.CONCAT(A2, "-", F2, "-", E2, ".png")</f>
        <v>FinalState-KEY_04-help.png</v>
      </c>
      <c r="H2" t="str">
        <f>MID(B2, FIND("InputEventMap", B2), LEN(B2))</f>
        <v>InputEventMap.KEY_ASTERISK</v>
      </c>
      <c r="I2" t="str">
        <f>_xlfn.CONCAT("StreamdeckInput.", F2, ": ", H2, ",")</f>
        <v>StreamdeckInput.KEY_04: InputEventMap.KEY_ASTERISK,</v>
      </c>
    </row>
    <row r="3" spans="1:9" x14ac:dyDescent="0.45">
      <c r="A3" t="s">
        <v>14</v>
      </c>
      <c r="B3" t="s">
        <v>13</v>
      </c>
      <c r="C3" t="s">
        <v>11</v>
      </c>
      <c r="D3">
        <v>10</v>
      </c>
      <c r="E3" t="str">
        <f>LOWER(
  TRIM(
    SUBSTITUTE(
      LEFT(B3, FIND(" = InputEventMap", B3) - 1),
      CHAR(160),
      " "
    )
  )
)</f>
        <v>menu</v>
      </c>
      <c r="F3" t="str">
        <f>"KEY_" &amp; CHOOSE(
    D3+1,
    "00","01","02","03","04","05","06","07","08","09","0A","0B","0C","0D","0E"
)</f>
        <v>KEY_0A</v>
      </c>
      <c r="G3" t="str">
        <f>_xlfn.CONCAT(A3, "-", F3, "-", E3, ".png")</f>
        <v>FinalState-KEY_0A-menu.png</v>
      </c>
      <c r="H3" t="str">
        <f>MID(B3, FIND("InputEventMap", B3), LEN(B3))</f>
        <v>InputEventMap.KEY_5</v>
      </c>
      <c r="I3" t="str">
        <f t="shared" ref="I3:I31" si="0">_xlfn.CONCAT("StreamdeckInput.", F3, ": ", H3, ",")</f>
        <v>StreamdeckInput.KEY_0A: InputEventMap.KEY_5,</v>
      </c>
    </row>
    <row r="4" spans="1:9" x14ac:dyDescent="0.45">
      <c r="A4" t="s">
        <v>23</v>
      </c>
      <c r="E4" t="e">
        <f>LOWER(
  TRIM(
    SUBSTITUTE(
      LEFT(B4, FIND(" = InputEventMap", B4) - 1),
      CHAR(160),
      " "
    )
  )
)</f>
        <v>#VALUE!</v>
      </c>
      <c r="F4" t="str">
        <f>"KEY_" &amp; CHOOSE(
    D4+1,
    "00","01","02","03","04","05","06","07","08","09","0A","0B","0C","0D","0E"
)</f>
        <v>KEY_00</v>
      </c>
      <c r="G4" t="e">
        <f>_xlfn.CONCAT(A4, "-", F4, "-", E4, ".png")</f>
        <v>#VALUE!</v>
      </c>
      <c r="H4" t="e">
        <f>MID(B4, FIND("InputEventMap", B4), LEN(B4))</f>
        <v>#VALUE!</v>
      </c>
      <c r="I4" t="e">
        <f t="shared" si="0"/>
        <v>#VALUE!</v>
      </c>
    </row>
    <row r="5" spans="1:9" x14ac:dyDescent="0.45">
      <c r="A5" t="s">
        <v>21</v>
      </c>
      <c r="E5" t="e">
        <f>LOWER(
  TRIM(
    SUBSTITUTE(
      LEFT(B5, FIND(" = InputEventMap", B5) - 1),
      CHAR(160),
      " "
    )
  )
)</f>
        <v>#VALUE!</v>
      </c>
      <c r="F5" t="str">
        <f>"KEY_" &amp; CHOOSE(
    D5+1,
    "00","01","02","03","04","05","06","07","08","09","0A","0B","0C","0D","0E"
)</f>
        <v>KEY_00</v>
      </c>
      <c r="G5" t="e">
        <f>_xlfn.CONCAT(A5, "-", F5, "-", E5, ".png")</f>
        <v>#VALUE!</v>
      </c>
      <c r="H5" t="e">
        <f>MID(B5, FIND("InputEventMap", B5), LEN(B5))</f>
        <v>#VALUE!</v>
      </c>
      <c r="I5" t="e">
        <f t="shared" si="0"/>
        <v>#VALUE!</v>
      </c>
    </row>
    <row r="6" spans="1:9" x14ac:dyDescent="0.45">
      <c r="A6" t="s">
        <v>22</v>
      </c>
      <c r="E6" t="e">
        <f>LOWER(
  TRIM(
    SUBSTITUTE(
      LEFT(B6, FIND(" = InputEventMap", B6) - 1),
      CHAR(160),
      " "
    )
  )
)</f>
        <v>#VALUE!</v>
      </c>
      <c r="F6" t="str">
        <f>"KEY_" &amp; CHOOSE(
    D6+1,
    "00","01","02","03","04","05","06","07","08","09","0A","0B","0C","0D","0E"
)</f>
        <v>KEY_00</v>
      </c>
      <c r="G6" t="e">
        <f>_xlfn.CONCAT(A6, "-", F6, "-", E6, ".png")</f>
        <v>#VALUE!</v>
      </c>
      <c r="H6" t="e">
        <f>MID(B6, FIND("InputEventMap", B6), LEN(B6))</f>
        <v>#VALUE!</v>
      </c>
      <c r="I6" t="e">
        <f t="shared" si="0"/>
        <v>#VALUE!</v>
      </c>
    </row>
    <row r="7" spans="1:9" x14ac:dyDescent="0.45">
      <c r="A7" t="s">
        <v>18</v>
      </c>
      <c r="E7" t="e">
        <f>LOWER(
  TRIM(
    SUBSTITUTE(
      LEFT(B7, FIND(" = InputEventMap", B7) - 1),
      CHAR(160),
      " "
    )
  )
)</f>
        <v>#VALUE!</v>
      </c>
      <c r="F7" t="str">
        <f>"KEY_" &amp; CHOOSE(
    D7+1,
    "00","01","02","03","04","05","06","07","08","09","0A","0B","0C","0D","0E"
)</f>
        <v>KEY_00</v>
      </c>
      <c r="G7" t="e">
        <f>_xlfn.CONCAT(A7, "-", F7, "-", E7, ".png")</f>
        <v>#VALUE!</v>
      </c>
      <c r="H7" t="e">
        <f>MID(B7, FIND("InputEventMap", B7), LEN(B7))</f>
        <v>#VALUE!</v>
      </c>
      <c r="I7" t="e">
        <f t="shared" si="0"/>
        <v>#VALUE!</v>
      </c>
    </row>
    <row r="8" spans="1:9" x14ac:dyDescent="0.45">
      <c r="A8" t="s">
        <v>19</v>
      </c>
      <c r="E8" t="e">
        <f>LOWER(
  TRIM(
    SUBSTITUTE(
      LEFT(B8, FIND(" = InputEventMap", B8) - 1),
      CHAR(160),
      " "
    )
  )
)</f>
        <v>#VALUE!</v>
      </c>
      <c r="F8" t="str">
        <f>"KEY_" &amp; CHOOSE(
    D8+1,
    "00","01","02","03","04","05","06","07","08","09","0A","0B","0C","0D","0E"
)</f>
        <v>KEY_00</v>
      </c>
      <c r="G8" t="e">
        <f>_xlfn.CONCAT(A8, "-", F8, "-", E8, ".png")</f>
        <v>#VALUE!</v>
      </c>
      <c r="H8" t="e">
        <f>MID(B8, FIND("InputEventMap", B8), LEN(B8))</f>
        <v>#VALUE!</v>
      </c>
      <c r="I8" t="e">
        <f t="shared" si="0"/>
        <v>#VALUE!</v>
      </c>
    </row>
    <row r="9" spans="1:9" x14ac:dyDescent="0.45">
      <c r="A9" t="s">
        <v>20</v>
      </c>
      <c r="E9" t="e">
        <f>LOWER(
  TRIM(
    SUBSTITUTE(
      LEFT(B9, FIND(" = InputEventMap", B9) - 1),
      CHAR(160),
      " "
    )
  )
)</f>
        <v>#VALUE!</v>
      </c>
      <c r="F9" t="str">
        <f>"KEY_" &amp; CHOOSE(
    D9+1,
    "00","01","02","03","04","05","06","07","08","09","0A","0B","0C","0D","0E"
)</f>
        <v>KEY_00</v>
      </c>
      <c r="G9" t="e">
        <f>_xlfn.CONCAT(A9, "-", F9, "-", E9, ".png")</f>
        <v>#VALUE!</v>
      </c>
      <c r="H9" t="e">
        <f>MID(B9, FIND("InputEventMap", B9), LEN(B9))</f>
        <v>#VALUE!</v>
      </c>
      <c r="I9" t="e">
        <f t="shared" si="0"/>
        <v>#VALUE!</v>
      </c>
    </row>
    <row r="10" spans="1:9" x14ac:dyDescent="0.45">
      <c r="A10" t="s">
        <v>17</v>
      </c>
      <c r="E10" t="e">
        <f>LOWER(
  TRIM(
    SUBSTITUTE(
      LEFT(B10, FIND(" = InputEventMap", B10) - 1),
      CHAR(160),
      " "
    )
  )
)</f>
        <v>#VALUE!</v>
      </c>
      <c r="F10" t="str">
        <f>"KEY_" &amp; CHOOSE(
    D10+1,
    "00","01","02","03","04","05","06","07","08","09","0A","0B","0C","0D","0E"
)</f>
        <v>KEY_00</v>
      </c>
      <c r="G10" t="e">
        <f>_xlfn.CONCAT(A10, "-", F10, "-", E10, ".png")</f>
        <v>#VALUE!</v>
      </c>
      <c r="H10" t="e">
        <f>MID(B10, FIND("InputEventMap", B10), LEN(B10))</f>
        <v>#VALUE!</v>
      </c>
      <c r="I10" t="e">
        <f t="shared" si="0"/>
        <v>#VALUE!</v>
      </c>
    </row>
    <row r="11" spans="1:9" x14ac:dyDescent="0.45">
      <c r="A11" t="s">
        <v>24</v>
      </c>
      <c r="F11" t="str">
        <f>"KEY_" &amp; CHOOSE(
    D11+1,
    "00","01","02","03","04","05","06","07","08","09","0A","0B","0C","0D","0E"
)</f>
        <v>KEY_00</v>
      </c>
      <c r="G11" t="str">
        <f>_xlfn.CONCAT(A11, "-", F11, "-", E11, ".png")</f>
        <v>InitialiseRc1-KEY_00-.png</v>
      </c>
      <c r="H11" t="e">
        <f>MID(B11, FIND("InputEventMap", B11), LEN(B11))</f>
        <v>#VALUE!</v>
      </c>
      <c r="I11" t="e">
        <f t="shared" si="0"/>
        <v>#VALUE!</v>
      </c>
    </row>
    <row r="12" spans="1:9" x14ac:dyDescent="0.45">
      <c r="A12" t="s">
        <v>25</v>
      </c>
      <c r="F12" t="str">
        <f>"KEY_" &amp; CHOOSE(
    D12+1,
    "00","01","02","03","04","05","06","07","08","09","0A","0B","0C","0D","0E"
)</f>
        <v>KEY_00</v>
      </c>
      <c r="G12" t="str">
        <f>_xlfn.CONCAT(A12, "-", F12, "-", E12, ".png")</f>
        <v>InitialiseRc2-KEY_00-.png</v>
      </c>
      <c r="H12" t="e">
        <f>MID(B12, FIND("InputEventMap", B12), LEN(B12))</f>
        <v>#VALUE!</v>
      </c>
      <c r="I12" t="e">
        <f t="shared" si="0"/>
        <v>#VALUE!</v>
      </c>
    </row>
    <row r="13" spans="1:9" x14ac:dyDescent="0.45">
      <c r="A13" t="s">
        <v>15</v>
      </c>
      <c r="F13" t="str">
        <f>"KEY_" &amp; CHOOSE(
    D13+1,
    "00","01","02","03","04","05","06","07","08","09","0A","0B","0C","0D","0E"
)</f>
        <v>KEY_00</v>
      </c>
      <c r="G13" t="str">
        <f>_xlfn.CONCAT(A13, "-", F13, "-", E13, ".png")</f>
        <v>Main-KEY_00-.png</v>
      </c>
      <c r="H13" t="e">
        <f>MID(B13, FIND("InputEventMap", B13), LEN(B13))</f>
        <v>#VALUE!</v>
      </c>
      <c r="I13" t="e">
        <f t="shared" si="0"/>
        <v>#VALUE!</v>
      </c>
    </row>
    <row r="14" spans="1:9" x14ac:dyDescent="0.45">
      <c r="A14" t="s">
        <v>26</v>
      </c>
      <c r="F14" t="str">
        <f>"KEY_" &amp; CHOOSE(
    D14+1,
    "00","01","02","03","04","05","06","07","08","09","0A","0B","0C","0D","0E"
)</f>
        <v>KEY_00</v>
      </c>
      <c r="G14" t="str">
        <f>_xlfn.CONCAT(A14, "-", F14, "-", E14, ".png")</f>
        <v>OnRecord-KEY_00-.png</v>
      </c>
      <c r="H14" t="e">
        <f>MID(B14, FIND("InputEventMap", B14), LEN(B14))</f>
        <v>#VALUE!</v>
      </c>
      <c r="I14" t="e">
        <f t="shared" si="0"/>
        <v>#VALUE!</v>
      </c>
    </row>
    <row r="15" spans="1:9" x14ac:dyDescent="0.45">
      <c r="A15" t="s">
        <v>1</v>
      </c>
      <c r="F15" t="str">
        <f>"KEY_" &amp; CHOOSE(
    D15+1,
    "00","01","02","03","04","05","06","07","08","09","0A","0B","0C","0D","0E"
)</f>
        <v>KEY_00</v>
      </c>
      <c r="G15" t="str">
        <f>_xlfn.CONCAT(A15, "-", F15, "-", E15, ".png")</f>
        <v>playback-KEY_00-.png</v>
      </c>
      <c r="H15" t="e">
        <f>MID(B15, FIND("InputEventMap", B15), LEN(B15))</f>
        <v>#VALUE!</v>
      </c>
      <c r="I15" t="e">
        <f t="shared" si="0"/>
        <v>#VALUE!</v>
      </c>
    </row>
    <row r="16" spans="1:9" x14ac:dyDescent="0.45">
      <c r="A16" t="s">
        <v>2</v>
      </c>
      <c r="F16" t="str">
        <f>"KEY_" &amp; CHOOSE(
    D16+1,
    "00","01","02","03","04","05","06","07","08","09","0A","0B","0C","0D","0E"
)</f>
        <v>KEY_00</v>
      </c>
      <c r="G16" t="str">
        <f>_xlfn.CONCAT(A16, "-", F16, "-", E16, ".png")</f>
        <v>select_language-KEY_00-.png</v>
      </c>
      <c r="H16" t="e">
        <f>MID(B16, FIND("InputEventMap", B16), LEN(B16))</f>
        <v>#VALUE!</v>
      </c>
      <c r="I16" t="e">
        <f t="shared" si="0"/>
        <v>#VALUE!</v>
      </c>
    </row>
    <row r="17" spans="1:9" x14ac:dyDescent="0.45">
      <c r="A17" t="s">
        <v>3</v>
      </c>
      <c r="F17" t="str">
        <f>"KEY_" &amp; CHOOSE(
    D17+1,
    "00","01","02","03","04","05","06","07","08","09","0A","0B","0C","0D","0E"
)</f>
        <v>KEY_00</v>
      </c>
      <c r="G17" t="str">
        <f>_xlfn.CONCAT(A17, "-", F17, "-", E17, ".png")</f>
        <v>set_date-KEY_00-.png</v>
      </c>
      <c r="H17" t="e">
        <f>MID(B17, FIND("InputEventMap", B17), LEN(B17))</f>
        <v>#VALUE!</v>
      </c>
      <c r="I17" t="e">
        <f t="shared" si="0"/>
        <v>#VALUE!</v>
      </c>
    </row>
    <row r="18" spans="1:9" x14ac:dyDescent="0.45">
      <c r="A18" t="s">
        <v>4</v>
      </c>
      <c r="F18" t="str">
        <f>"KEY_" &amp; CHOOSE(
    D18+1,
    "00","01","02","03","04","05","06","07","08","09","0A","0B","0C","0D","0E"
)</f>
        <v>KEY_00</v>
      </c>
      <c r="G18" t="str">
        <f>_xlfn.CONCAT(A18, "-", F18, "-", E18, ".png")</f>
        <v>set_name-KEY_00-.png</v>
      </c>
      <c r="H18" t="e">
        <f>MID(B18, FIND("InputEventMap", B18), LEN(B18))</f>
        <v>#VALUE!</v>
      </c>
      <c r="I18" t="e">
        <f t="shared" si="0"/>
        <v>#VALUE!</v>
      </c>
    </row>
    <row r="19" spans="1:9" x14ac:dyDescent="0.45">
      <c r="A19" t="s">
        <v>5</v>
      </c>
      <c r="F19" t="str">
        <f>"KEY_" &amp; CHOOSE(
    D19+1,
    "00","01","02","03","04","05","06","07","08","09","0A","0B","0C","0D","0E"
)</f>
        <v>KEY_00</v>
      </c>
      <c r="G19" t="str">
        <f>_xlfn.CONCAT(A19, "-", F19, "-", E19, ".png")</f>
        <v>set_time-KEY_00-.png</v>
      </c>
      <c r="H19" t="e">
        <f>MID(B19, FIND("InputEventMap", B19), LEN(B19))</f>
        <v>#VALUE!</v>
      </c>
      <c r="I19" t="e">
        <f t="shared" si="0"/>
        <v>#VALUE!</v>
      </c>
    </row>
    <row r="20" spans="1:9" x14ac:dyDescent="0.45">
      <c r="A20" t="s">
        <v>6</v>
      </c>
      <c r="F20" t="str">
        <f>"KEY_" &amp; CHOOSE(
    D20+1,
    "00","01","02","03","04","05","06","07","08","09","0A","0B","0C","0D","0E"
)</f>
        <v>KEY_00</v>
      </c>
      <c r="G20" t="str">
        <f>_xlfn.CONCAT(A20, "-", F20, "-", E20, ".png")</f>
        <v>storage_management-KEY_00-.png</v>
      </c>
      <c r="H20" t="e">
        <f>MID(B20, FIND("InputEventMap", B20), LEN(B20))</f>
        <v>#VALUE!</v>
      </c>
      <c r="I20" t="e">
        <f t="shared" si="0"/>
        <v>#VALUE!</v>
      </c>
    </row>
    <row r="21" spans="1:9" x14ac:dyDescent="0.45">
      <c r="A21" t="s">
        <v>16</v>
      </c>
      <c r="F21" t="str">
        <f>"KEY_" &amp; CHOOSE(
    D21+1,
    "00","01","02","03","04","05","06","07","08","09","0A","0B","0C","0D","0E"
)</f>
        <v>KEY_00</v>
      </c>
      <c r="G21" t="str">
        <f>_xlfn.CONCAT(A21, "-", F21, "-", E21, ".png")</f>
        <v>System-KEY_00-.png</v>
      </c>
      <c r="H21" t="e">
        <f>MID(B21, FIND("InputEventMap", B21), LEN(B21))</f>
        <v>#VALUE!</v>
      </c>
      <c r="I21" t="e">
        <f t="shared" si="0"/>
        <v>#VALUE!</v>
      </c>
    </row>
    <row r="22" spans="1:9" x14ac:dyDescent="0.45">
      <c r="F22" t="str">
        <f>"KEY_" &amp; CHOOSE(
    D22+1,
    "00","01","02","03","04","05","06","07","08","09","0A","0B","0C","0D","0E"
)</f>
        <v>KEY_00</v>
      </c>
      <c r="G22" t="str">
        <f>_xlfn.CONCAT(A22, "-", F22, "-", E22, ".png")</f>
        <v>-KEY_00-.png</v>
      </c>
      <c r="H22" t="e">
        <f>MID(B22, FIND("InputEventMap", B22), LEN(B22))</f>
        <v>#VALUE!</v>
      </c>
      <c r="I22" t="e">
        <f t="shared" si="0"/>
        <v>#VALUE!</v>
      </c>
    </row>
    <row r="23" spans="1:9" x14ac:dyDescent="0.45">
      <c r="F23" t="str">
        <f>"KEY_" &amp; CHOOSE(
    D23+1,
    "00","01","02","03","04","05","06","07","08","09","0A","0B","0C","0D","0E"
)</f>
        <v>KEY_00</v>
      </c>
      <c r="G23" t="str">
        <f>_xlfn.CONCAT(A23, "-", F23, "-", E23, ".png")</f>
        <v>-KEY_00-.png</v>
      </c>
      <c r="H23" t="e">
        <f>MID(B23, FIND("InputEventMap", B23), LEN(B23))</f>
        <v>#VALUE!</v>
      </c>
      <c r="I23" t="e">
        <f t="shared" si="0"/>
        <v>#VALUE!</v>
      </c>
    </row>
    <row r="24" spans="1:9" x14ac:dyDescent="0.45">
      <c r="F24" t="str">
        <f>"KEY_" &amp; CHOOSE(
    D24+1,
    "00","01","02","03","04","05","06","07","08","09","0A","0B","0C","0D","0E"
)</f>
        <v>KEY_00</v>
      </c>
      <c r="G24" t="str">
        <f>_xlfn.CONCAT(A24, "-", F24, "-", E24, ".png")</f>
        <v>-KEY_00-.png</v>
      </c>
      <c r="H24" t="e">
        <f>MID(B24, FIND("InputEventMap", B24), LEN(B24))</f>
        <v>#VALUE!</v>
      </c>
      <c r="I24" t="e">
        <f t="shared" si="0"/>
        <v>#VALUE!</v>
      </c>
    </row>
    <row r="25" spans="1:9" x14ac:dyDescent="0.45">
      <c r="F25" t="str">
        <f>"KEY_" &amp; CHOOSE(
    D25+1,
    "00","01","02","03","04","05","06","07","08","09","0A","0B","0C","0D","0E"
)</f>
        <v>KEY_00</v>
      </c>
      <c r="G25" t="str">
        <f>_xlfn.CONCAT(A25, "-", F25, "-", E25, ".png")</f>
        <v>-KEY_00-.png</v>
      </c>
      <c r="H25" t="e">
        <f>MID(B25, FIND("InputEventMap", B25), LEN(B25))</f>
        <v>#VALUE!</v>
      </c>
      <c r="I25" t="e">
        <f t="shared" si="0"/>
        <v>#VALUE!</v>
      </c>
    </row>
    <row r="26" spans="1:9" x14ac:dyDescent="0.45">
      <c r="F26" t="str">
        <f>"KEY_" &amp; CHOOSE(
    D26+1,
    "00","01","02","03","04","05","06","07","08","09","0A","0B","0C","0D","0E"
)</f>
        <v>KEY_00</v>
      </c>
      <c r="G26" t="str">
        <f>_xlfn.CONCAT(A26, "-", F26, "-", E26, ".png")</f>
        <v>-KEY_00-.png</v>
      </c>
      <c r="H26" t="e">
        <f>MID(B26, FIND("InputEventMap", B26), LEN(B26))</f>
        <v>#VALUE!</v>
      </c>
      <c r="I26" t="e">
        <f t="shared" si="0"/>
        <v>#VALUE!</v>
      </c>
    </row>
    <row r="27" spans="1:9" x14ac:dyDescent="0.45">
      <c r="F27" t="str">
        <f>"KEY_" &amp; CHOOSE(
    D27+1,
    "00","01","02","03","04","05","06","07","08","09","0A","0B","0C","0D","0E"
)</f>
        <v>KEY_00</v>
      </c>
      <c r="G27" t="str">
        <f>_xlfn.CONCAT(A27, "-", F27, "-", E27, ".png")</f>
        <v>-KEY_00-.png</v>
      </c>
      <c r="H27" t="e">
        <f>MID(B27, FIND("InputEventMap", B27), LEN(B27))</f>
        <v>#VALUE!</v>
      </c>
      <c r="I27" t="e">
        <f t="shared" si="0"/>
        <v>#VALUE!</v>
      </c>
    </row>
    <row r="28" spans="1:9" x14ac:dyDescent="0.45">
      <c r="F28" t="str">
        <f>"KEY_" &amp; CHOOSE(
    D28+1,
    "00","01","02","03","04","05","06","07","08","09","0A","0B","0C","0D","0E"
)</f>
        <v>KEY_00</v>
      </c>
      <c r="G28" t="str">
        <f>_xlfn.CONCAT(A28, "-", F28, "-", E28, ".png")</f>
        <v>-KEY_00-.png</v>
      </c>
      <c r="H28" t="e">
        <f>MID(B28, FIND("InputEventMap", B28), LEN(B28))</f>
        <v>#VALUE!</v>
      </c>
      <c r="I28" t="e">
        <f t="shared" si="0"/>
        <v>#VALUE!</v>
      </c>
    </row>
    <row r="29" spans="1:9" x14ac:dyDescent="0.45">
      <c r="F29" t="str">
        <f>"KEY_" &amp; CHOOSE(
    D29+1,
    "00","01","02","03","04","05","06","07","08","09","0A","0B","0C","0D","0E"
)</f>
        <v>KEY_00</v>
      </c>
      <c r="G29" t="str">
        <f>_xlfn.CONCAT(A29, "-", F29, "-", E29, ".png")</f>
        <v>-KEY_00-.png</v>
      </c>
      <c r="H29" t="e">
        <f>MID(B29, FIND("InputEventMap", B29), LEN(B29))</f>
        <v>#VALUE!</v>
      </c>
      <c r="I29" t="e">
        <f t="shared" si="0"/>
        <v>#VALUE!</v>
      </c>
    </row>
    <row r="30" spans="1:9" x14ac:dyDescent="0.45">
      <c r="F30" t="str">
        <f>"KEY_" &amp; CHOOSE(
    D30+1,
    "00","01","02","03","04","05","06","07","08","09","0A","0B","0C","0D","0E"
)</f>
        <v>KEY_00</v>
      </c>
      <c r="G30" t="str">
        <f>_xlfn.CONCAT(A30, "-", F30, "-", E30, ".png")</f>
        <v>-KEY_00-.png</v>
      </c>
      <c r="H30" t="e">
        <f>MID(B30, FIND("InputEventMap", B30), LEN(B30))</f>
        <v>#VALUE!</v>
      </c>
      <c r="I30" t="e">
        <f t="shared" si="0"/>
        <v>#VALUE!</v>
      </c>
    </row>
    <row r="31" spans="1:9" x14ac:dyDescent="0.45">
      <c r="F31" t="str">
        <f>"KEY_" &amp; CHOOSE(
    D31+1,
    "00","01","02","03","04","05","06","07","08","09","0A","0B","0C","0D","0E"
)</f>
        <v>KEY_00</v>
      </c>
      <c r="G31" t="str">
        <f>_xlfn.CONCAT(A31, "-", F31, "-", E31, ".png")</f>
        <v>-KEY_00-.png</v>
      </c>
      <c r="H31" t="e">
        <f>MID(B31, FIND("InputEventMap", B31), LEN(B31))</f>
        <v>#VALUE!</v>
      </c>
      <c r="I31" t="e">
        <f t="shared" si="0"/>
        <v>#VALUE!</v>
      </c>
    </row>
  </sheetData>
  <phoneticPr fontId="2" type="noConversion"/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Irene Hofstetter</dc:creator>
  <cp:lastModifiedBy>Irene Hofstetter</cp:lastModifiedBy>
  <dcterms:created xsi:type="dcterms:W3CDTF">2025-12-25T10:48:21Z</dcterms:created>
  <dcterms:modified xsi:type="dcterms:W3CDTF">2025-12-25T11:46:51Z</dcterms:modified>
</cp:coreProperties>
</file>