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ene\src\biz.dfch.PhoneTap\prep\"/>
    </mc:Choice>
  </mc:AlternateContent>
  <xr:revisionPtr revIDLastSave="0" documentId="13_ncr:1_{3D05F52C-1E22-419D-83B6-E92DCD31CA7B}" xr6:coauthVersionLast="47" xr6:coauthVersionMax="47" xr10:uidLastSave="{00000000-0000-0000-0000-000000000000}"/>
  <bookViews>
    <workbookView xWindow="-98" yWindow="-98" windowWidth="21795" windowHeight="13875" xr2:uid="{4419FAFA-D280-4090-97B7-CB07F6B7BE60}"/>
  </bookViews>
  <sheets>
    <sheet name="Sheet1" sheetId="1" r:id="rId1"/>
  </sheets>
  <definedNames>
    <definedName name="_xlnm._FilterDatabase" localSheetId="0" hidden="1">Sheet1!$A$1:$I$156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F19" i="1"/>
  <c r="I19" i="1" s="1"/>
  <c r="E19" i="1"/>
  <c r="H18" i="1"/>
  <c r="F18" i="1"/>
  <c r="I18" i="1" s="1"/>
  <c r="E18" i="1"/>
  <c r="H17" i="1"/>
  <c r="G17" i="1"/>
  <c r="F17" i="1"/>
  <c r="I17" i="1" s="1"/>
  <c r="E17" i="1"/>
  <c r="H16" i="1"/>
  <c r="F16" i="1"/>
  <c r="I16" i="1" s="1"/>
  <c r="E16" i="1"/>
  <c r="H15" i="1"/>
  <c r="F15" i="1"/>
  <c r="I15" i="1" s="1"/>
  <c r="E15" i="1"/>
  <c r="G15" i="1" s="1"/>
  <c r="I14" i="1"/>
  <c r="H14" i="1"/>
  <c r="F14" i="1"/>
  <c r="G14" i="1" s="1"/>
  <c r="E14" i="1"/>
  <c r="H13" i="1"/>
  <c r="I13" i="1" s="1"/>
  <c r="G13" i="1"/>
  <c r="F13" i="1"/>
  <c r="E13" i="1"/>
  <c r="H12" i="1"/>
  <c r="F12" i="1"/>
  <c r="I12" i="1" s="1"/>
  <c r="E12" i="1"/>
  <c r="E7" i="1"/>
  <c r="H7" i="1"/>
  <c r="F7" i="1"/>
  <c r="I7" i="1" s="1"/>
  <c r="H3" i="1"/>
  <c r="F3" i="1"/>
  <c r="E3" i="1"/>
  <c r="H6" i="1"/>
  <c r="F6" i="1"/>
  <c r="I6" i="1" s="1"/>
  <c r="H5" i="1"/>
  <c r="F5" i="1"/>
  <c r="H4" i="1"/>
  <c r="F4" i="1"/>
  <c r="H68" i="1"/>
  <c r="F68" i="1"/>
  <c r="E68" i="1"/>
  <c r="H52" i="1"/>
  <c r="F52" i="1"/>
  <c r="E52" i="1"/>
  <c r="H44" i="1"/>
  <c r="F44" i="1"/>
  <c r="E44" i="1"/>
  <c r="H40" i="1"/>
  <c r="F40" i="1"/>
  <c r="E40" i="1"/>
  <c r="H36" i="1"/>
  <c r="F36" i="1"/>
  <c r="E36" i="1"/>
  <c r="H32" i="1"/>
  <c r="F32" i="1"/>
  <c r="E32" i="1"/>
  <c r="H2" i="1"/>
  <c r="F2" i="1"/>
  <c r="E2" i="1"/>
  <c r="H28" i="1"/>
  <c r="F28" i="1"/>
  <c r="E28" i="1"/>
  <c r="H24" i="1"/>
  <c r="F24" i="1"/>
  <c r="E24" i="1"/>
  <c r="H20" i="1"/>
  <c r="F20" i="1"/>
  <c r="E20" i="1"/>
  <c r="H8" i="1"/>
  <c r="F8" i="1"/>
  <c r="E8" i="1"/>
  <c r="H70" i="1"/>
  <c r="F70" i="1"/>
  <c r="E70" i="1"/>
  <c r="H75" i="1"/>
  <c r="F75" i="1"/>
  <c r="E75" i="1"/>
  <c r="H79" i="1"/>
  <c r="F79" i="1"/>
  <c r="E79" i="1"/>
  <c r="H91" i="1"/>
  <c r="F91" i="1"/>
  <c r="E91" i="1"/>
  <c r="H97" i="1"/>
  <c r="F97" i="1"/>
  <c r="E97" i="1"/>
  <c r="H111" i="1"/>
  <c r="F111" i="1"/>
  <c r="E111" i="1"/>
  <c r="H125" i="1"/>
  <c r="F125" i="1"/>
  <c r="E125" i="1"/>
  <c r="H139" i="1"/>
  <c r="F139" i="1"/>
  <c r="E139" i="1"/>
  <c r="H149" i="1"/>
  <c r="F149" i="1"/>
  <c r="E149" i="1"/>
  <c r="G18" i="1" l="1"/>
  <c r="G16" i="1"/>
  <c r="G19" i="1"/>
  <c r="G12" i="1"/>
  <c r="I5" i="1"/>
  <c r="G7" i="1"/>
  <c r="G3" i="1"/>
  <c r="I3" i="1"/>
  <c r="I4" i="1"/>
  <c r="G6" i="1"/>
  <c r="G5" i="1"/>
  <c r="G4" i="1"/>
  <c r="I68" i="1"/>
  <c r="G68" i="1"/>
  <c r="I36" i="1"/>
  <c r="I32" i="1"/>
  <c r="I52" i="1"/>
  <c r="G52" i="1"/>
  <c r="I44" i="1"/>
  <c r="G44" i="1"/>
  <c r="I40" i="1"/>
  <c r="G40" i="1"/>
  <c r="G36" i="1"/>
  <c r="G32" i="1"/>
  <c r="I20" i="1"/>
  <c r="I24" i="1"/>
  <c r="I111" i="1"/>
  <c r="I91" i="1"/>
  <c r="I2" i="1"/>
  <c r="G2" i="1"/>
  <c r="I149" i="1"/>
  <c r="I28" i="1"/>
  <c r="G28" i="1"/>
  <c r="G24" i="1"/>
  <c r="G20" i="1"/>
  <c r="I8" i="1"/>
  <c r="G8" i="1"/>
  <c r="I70" i="1"/>
  <c r="G70" i="1"/>
  <c r="I75" i="1"/>
  <c r="G75" i="1"/>
  <c r="I79" i="1"/>
  <c r="G79" i="1"/>
  <c r="G91" i="1"/>
  <c r="I97" i="1"/>
  <c r="G97" i="1"/>
  <c r="G111" i="1"/>
  <c r="I139" i="1"/>
  <c r="I125" i="1"/>
  <c r="G125" i="1"/>
  <c r="G139" i="1"/>
  <c r="G149" i="1"/>
  <c r="H60" i="1" l="1"/>
  <c r="F60" i="1"/>
  <c r="E60" i="1"/>
  <c r="E76" i="1"/>
  <c r="F76" i="1"/>
  <c r="H76" i="1"/>
  <c r="E77" i="1"/>
  <c r="F77" i="1"/>
  <c r="H77" i="1"/>
  <c r="E78" i="1"/>
  <c r="F78" i="1"/>
  <c r="H78" i="1"/>
  <c r="E80" i="1"/>
  <c r="F80" i="1"/>
  <c r="H80" i="1"/>
  <c r="E81" i="1"/>
  <c r="F81" i="1"/>
  <c r="H81" i="1"/>
  <c r="E82" i="1"/>
  <c r="F82" i="1"/>
  <c r="H82" i="1"/>
  <c r="E83" i="1"/>
  <c r="F83" i="1"/>
  <c r="H83" i="1"/>
  <c r="E84" i="1"/>
  <c r="F84" i="1"/>
  <c r="H84" i="1"/>
  <c r="E85" i="1"/>
  <c r="F85" i="1"/>
  <c r="H85" i="1"/>
  <c r="E86" i="1"/>
  <c r="F86" i="1"/>
  <c r="H86" i="1"/>
  <c r="E87" i="1"/>
  <c r="F87" i="1"/>
  <c r="H87" i="1"/>
  <c r="E88" i="1"/>
  <c r="F88" i="1"/>
  <c r="H88" i="1"/>
  <c r="E89" i="1"/>
  <c r="F89" i="1"/>
  <c r="H89" i="1"/>
  <c r="E90" i="1"/>
  <c r="F90" i="1"/>
  <c r="H90" i="1"/>
  <c r="E92" i="1"/>
  <c r="F92" i="1"/>
  <c r="H92" i="1"/>
  <c r="E93" i="1"/>
  <c r="F93" i="1"/>
  <c r="H93" i="1"/>
  <c r="E94" i="1"/>
  <c r="F94" i="1"/>
  <c r="H94" i="1"/>
  <c r="E95" i="1"/>
  <c r="F95" i="1"/>
  <c r="H95" i="1"/>
  <c r="I95" i="1" s="1"/>
  <c r="E96" i="1"/>
  <c r="F96" i="1"/>
  <c r="H96" i="1"/>
  <c r="E98" i="1"/>
  <c r="F98" i="1"/>
  <c r="H98" i="1"/>
  <c r="E99" i="1"/>
  <c r="F99" i="1"/>
  <c r="H99" i="1"/>
  <c r="E100" i="1"/>
  <c r="F100" i="1"/>
  <c r="H100" i="1"/>
  <c r="E101" i="1"/>
  <c r="F101" i="1"/>
  <c r="H101" i="1"/>
  <c r="E102" i="1"/>
  <c r="F102" i="1"/>
  <c r="H102" i="1"/>
  <c r="E103" i="1"/>
  <c r="F103" i="1"/>
  <c r="H103" i="1"/>
  <c r="E104" i="1"/>
  <c r="F104" i="1"/>
  <c r="H104" i="1"/>
  <c r="E105" i="1"/>
  <c r="F105" i="1"/>
  <c r="H105" i="1"/>
  <c r="E106" i="1"/>
  <c r="F106" i="1"/>
  <c r="H106" i="1"/>
  <c r="E107" i="1"/>
  <c r="F107" i="1"/>
  <c r="H107" i="1"/>
  <c r="E108" i="1"/>
  <c r="F108" i="1"/>
  <c r="H108" i="1"/>
  <c r="I108" i="1" s="1"/>
  <c r="E109" i="1"/>
  <c r="F109" i="1"/>
  <c r="H109" i="1"/>
  <c r="E110" i="1"/>
  <c r="F110" i="1"/>
  <c r="H110" i="1"/>
  <c r="E112" i="1"/>
  <c r="F112" i="1"/>
  <c r="H112" i="1"/>
  <c r="E113" i="1"/>
  <c r="F113" i="1"/>
  <c r="H113" i="1"/>
  <c r="E114" i="1"/>
  <c r="F114" i="1"/>
  <c r="H114" i="1"/>
  <c r="E115" i="1"/>
  <c r="F115" i="1"/>
  <c r="H115" i="1"/>
  <c r="E116" i="1"/>
  <c r="F116" i="1"/>
  <c r="H116" i="1"/>
  <c r="E117" i="1"/>
  <c r="F117" i="1"/>
  <c r="H117" i="1"/>
  <c r="E118" i="1"/>
  <c r="F118" i="1"/>
  <c r="H118" i="1"/>
  <c r="E119" i="1"/>
  <c r="F119" i="1"/>
  <c r="H119" i="1"/>
  <c r="E120" i="1"/>
  <c r="F120" i="1"/>
  <c r="H120" i="1"/>
  <c r="E121" i="1"/>
  <c r="F121" i="1"/>
  <c r="H121" i="1"/>
  <c r="E122" i="1"/>
  <c r="F122" i="1"/>
  <c r="H122" i="1"/>
  <c r="E123" i="1"/>
  <c r="F123" i="1"/>
  <c r="H123" i="1"/>
  <c r="E124" i="1"/>
  <c r="F124" i="1"/>
  <c r="H124" i="1"/>
  <c r="E126" i="1"/>
  <c r="F126" i="1"/>
  <c r="H126" i="1"/>
  <c r="E127" i="1"/>
  <c r="F127" i="1"/>
  <c r="H127" i="1"/>
  <c r="E128" i="1"/>
  <c r="F128" i="1"/>
  <c r="H128" i="1"/>
  <c r="E129" i="1"/>
  <c r="F129" i="1"/>
  <c r="H129" i="1"/>
  <c r="E130" i="1"/>
  <c r="F130" i="1"/>
  <c r="H130" i="1"/>
  <c r="E131" i="1"/>
  <c r="F131" i="1"/>
  <c r="H131" i="1"/>
  <c r="E132" i="1"/>
  <c r="F132" i="1"/>
  <c r="H132" i="1"/>
  <c r="E133" i="1"/>
  <c r="F133" i="1"/>
  <c r="H133" i="1"/>
  <c r="E134" i="1"/>
  <c r="F134" i="1"/>
  <c r="H134" i="1"/>
  <c r="E135" i="1"/>
  <c r="F135" i="1"/>
  <c r="H135" i="1"/>
  <c r="E136" i="1"/>
  <c r="F136" i="1"/>
  <c r="H136" i="1"/>
  <c r="E137" i="1"/>
  <c r="F137" i="1"/>
  <c r="H137" i="1"/>
  <c r="E138" i="1"/>
  <c r="F138" i="1"/>
  <c r="H138" i="1"/>
  <c r="E140" i="1"/>
  <c r="F140" i="1"/>
  <c r="H140" i="1"/>
  <c r="E141" i="1"/>
  <c r="F141" i="1"/>
  <c r="H141" i="1"/>
  <c r="E142" i="1"/>
  <c r="F142" i="1"/>
  <c r="H142" i="1"/>
  <c r="E143" i="1"/>
  <c r="F143" i="1"/>
  <c r="H143" i="1"/>
  <c r="E144" i="1"/>
  <c r="F144" i="1"/>
  <c r="H144" i="1"/>
  <c r="E145" i="1"/>
  <c r="F145" i="1"/>
  <c r="H145" i="1"/>
  <c r="E146" i="1"/>
  <c r="F146" i="1"/>
  <c r="H146" i="1"/>
  <c r="E147" i="1"/>
  <c r="F147" i="1"/>
  <c r="H147" i="1"/>
  <c r="E148" i="1"/>
  <c r="F148" i="1"/>
  <c r="H148" i="1"/>
  <c r="E150" i="1"/>
  <c r="F150" i="1"/>
  <c r="H150" i="1"/>
  <c r="E151" i="1"/>
  <c r="F151" i="1"/>
  <c r="H151" i="1"/>
  <c r="E152" i="1"/>
  <c r="F152" i="1"/>
  <c r="H152" i="1"/>
  <c r="E153" i="1"/>
  <c r="F153" i="1"/>
  <c r="H153" i="1"/>
  <c r="E154" i="1"/>
  <c r="F154" i="1"/>
  <c r="H154" i="1"/>
  <c r="E155" i="1"/>
  <c r="F155" i="1"/>
  <c r="H155" i="1"/>
  <c r="E156" i="1"/>
  <c r="F156" i="1"/>
  <c r="H156" i="1"/>
  <c r="E72" i="1"/>
  <c r="F72" i="1"/>
  <c r="H72" i="1"/>
  <c r="E73" i="1"/>
  <c r="F73" i="1"/>
  <c r="H73" i="1"/>
  <c r="E74" i="1"/>
  <c r="F74" i="1"/>
  <c r="H74" i="1"/>
  <c r="F9" i="1"/>
  <c r="F10" i="1"/>
  <c r="F11" i="1"/>
  <c r="F21" i="1"/>
  <c r="F22" i="1"/>
  <c r="F23" i="1"/>
  <c r="F25" i="1"/>
  <c r="F26" i="1"/>
  <c r="F27" i="1"/>
  <c r="F29" i="1"/>
  <c r="F30" i="1"/>
  <c r="F31" i="1"/>
  <c r="F33" i="1"/>
  <c r="F34" i="1"/>
  <c r="F35" i="1"/>
  <c r="F37" i="1"/>
  <c r="F38" i="1"/>
  <c r="F39" i="1"/>
  <c r="F41" i="1"/>
  <c r="F42" i="1"/>
  <c r="F43" i="1"/>
  <c r="F45" i="1"/>
  <c r="F46" i="1"/>
  <c r="F47" i="1"/>
  <c r="F48" i="1"/>
  <c r="F49" i="1"/>
  <c r="F50" i="1"/>
  <c r="F51" i="1"/>
  <c r="F53" i="1"/>
  <c r="F54" i="1"/>
  <c r="F55" i="1"/>
  <c r="F56" i="1"/>
  <c r="F57" i="1"/>
  <c r="F58" i="1"/>
  <c r="F59" i="1"/>
  <c r="F61" i="1"/>
  <c r="F62" i="1"/>
  <c r="F63" i="1"/>
  <c r="F64" i="1"/>
  <c r="F65" i="1"/>
  <c r="F66" i="1"/>
  <c r="F67" i="1"/>
  <c r="F69" i="1"/>
  <c r="F71" i="1"/>
  <c r="H69" i="1"/>
  <c r="H71" i="1"/>
  <c r="E62" i="1"/>
  <c r="H62" i="1"/>
  <c r="E63" i="1"/>
  <c r="H63" i="1"/>
  <c r="E64" i="1"/>
  <c r="H64" i="1"/>
  <c r="E65" i="1"/>
  <c r="H65" i="1"/>
  <c r="E66" i="1"/>
  <c r="H66" i="1"/>
  <c r="E67" i="1"/>
  <c r="H67" i="1"/>
  <c r="E69" i="1"/>
  <c r="E71" i="1"/>
  <c r="E54" i="1"/>
  <c r="H54" i="1"/>
  <c r="E55" i="1"/>
  <c r="H55" i="1"/>
  <c r="E56" i="1"/>
  <c r="H56" i="1"/>
  <c r="E57" i="1"/>
  <c r="H57" i="1"/>
  <c r="E58" i="1"/>
  <c r="H58" i="1"/>
  <c r="E59" i="1"/>
  <c r="H59" i="1"/>
  <c r="E61" i="1"/>
  <c r="H61" i="1"/>
  <c r="E53" i="1"/>
  <c r="H53" i="1"/>
  <c r="E45" i="1"/>
  <c r="H45" i="1"/>
  <c r="E46" i="1"/>
  <c r="H46" i="1"/>
  <c r="E47" i="1"/>
  <c r="H47" i="1"/>
  <c r="E48" i="1"/>
  <c r="H48" i="1"/>
  <c r="E49" i="1"/>
  <c r="H49" i="1"/>
  <c r="E50" i="1"/>
  <c r="H50" i="1"/>
  <c r="E51" i="1"/>
  <c r="H51" i="1"/>
  <c r="H9" i="1"/>
  <c r="H10" i="1"/>
  <c r="H11" i="1"/>
  <c r="H21" i="1"/>
  <c r="H22" i="1"/>
  <c r="H23" i="1"/>
  <c r="H25" i="1"/>
  <c r="H26" i="1"/>
  <c r="H27" i="1"/>
  <c r="H29" i="1"/>
  <c r="H30" i="1"/>
  <c r="H31" i="1"/>
  <c r="H33" i="1"/>
  <c r="H34" i="1"/>
  <c r="H35" i="1"/>
  <c r="H37" i="1"/>
  <c r="H38" i="1"/>
  <c r="H39" i="1"/>
  <c r="H41" i="1"/>
  <c r="H42" i="1"/>
  <c r="H43" i="1"/>
  <c r="E9" i="1"/>
  <c r="E10" i="1"/>
  <c r="E11" i="1"/>
  <c r="E21" i="1"/>
  <c r="E22" i="1"/>
  <c r="E23" i="1"/>
  <c r="E25" i="1"/>
  <c r="E26" i="1"/>
  <c r="E27" i="1"/>
  <c r="E29" i="1"/>
  <c r="E30" i="1"/>
  <c r="E31" i="1"/>
  <c r="E33" i="1"/>
  <c r="E34" i="1"/>
  <c r="E35" i="1"/>
  <c r="E37" i="1"/>
  <c r="E38" i="1"/>
  <c r="E39" i="1"/>
  <c r="E41" i="1"/>
  <c r="E42" i="1"/>
  <c r="E43" i="1"/>
  <c r="I85" i="1" l="1"/>
  <c r="I90" i="1"/>
  <c r="G138" i="1"/>
  <c r="I112" i="1"/>
  <c r="G136" i="1"/>
  <c r="G135" i="1"/>
  <c r="G128" i="1"/>
  <c r="G112" i="1"/>
  <c r="G115" i="1"/>
  <c r="I60" i="1"/>
  <c r="I83" i="1"/>
  <c r="I113" i="1"/>
  <c r="G133" i="1"/>
  <c r="I87" i="1"/>
  <c r="G60" i="1"/>
  <c r="I124" i="1"/>
  <c r="I145" i="1"/>
  <c r="I121" i="1"/>
  <c r="I82" i="1"/>
  <c r="I99" i="1"/>
  <c r="G153" i="1"/>
  <c r="I104" i="1"/>
  <c r="G152" i="1"/>
  <c r="G113" i="1"/>
  <c r="G146" i="1"/>
  <c r="I137" i="1"/>
  <c r="G126" i="1"/>
  <c r="I77" i="1"/>
  <c r="I135" i="1"/>
  <c r="G155" i="1"/>
  <c r="I103" i="1"/>
  <c r="G88" i="1"/>
  <c r="I138" i="1"/>
  <c r="I89" i="1"/>
  <c r="I132" i="1"/>
  <c r="G84" i="1"/>
  <c r="G124" i="1"/>
  <c r="G118" i="1"/>
  <c r="I143" i="1"/>
  <c r="G114" i="1"/>
  <c r="I110" i="1"/>
  <c r="I106" i="1"/>
  <c r="I102" i="1"/>
  <c r="I88" i="1"/>
  <c r="G154" i="1"/>
  <c r="G140" i="1"/>
  <c r="G120" i="1"/>
  <c r="G147" i="1"/>
  <c r="G143" i="1"/>
  <c r="I154" i="1"/>
  <c r="G156" i="1"/>
  <c r="G137" i="1"/>
  <c r="G141" i="1"/>
  <c r="I148" i="1"/>
  <c r="I144" i="1"/>
  <c r="I140" i="1"/>
  <c r="I130" i="1"/>
  <c r="I136" i="1"/>
  <c r="I133" i="1"/>
  <c r="G109" i="1"/>
  <c r="G119" i="1"/>
  <c r="G150" i="1"/>
  <c r="I93" i="1"/>
  <c r="I76" i="1"/>
  <c r="G123" i="1"/>
  <c r="G101" i="1"/>
  <c r="I152" i="1"/>
  <c r="G130" i="1"/>
  <c r="I109" i="1"/>
  <c r="I101" i="1"/>
  <c r="I115" i="1"/>
  <c r="G116" i="1"/>
  <c r="I151" i="1"/>
  <c r="I117" i="1"/>
  <c r="I98" i="1"/>
  <c r="I120" i="1"/>
  <c r="I156" i="1"/>
  <c r="I134" i="1"/>
  <c r="I131" i="1"/>
  <c r="G148" i="1"/>
  <c r="G145" i="1"/>
  <c r="G127" i="1"/>
  <c r="G122" i="1"/>
  <c r="G117" i="1"/>
  <c r="I119" i="1"/>
  <c r="G129" i="1"/>
  <c r="I147" i="1"/>
  <c r="I128" i="1"/>
  <c r="I155" i="1"/>
  <c r="G131" i="1"/>
  <c r="I84" i="1"/>
  <c r="G142" i="1"/>
  <c r="G96" i="1"/>
  <c r="G80" i="1"/>
  <c r="G144" i="1"/>
  <c r="G108" i="1"/>
  <c r="G104" i="1"/>
  <c r="G100" i="1"/>
  <c r="G87" i="1"/>
  <c r="I141" i="1"/>
  <c r="G95" i="1"/>
  <c r="G83" i="1"/>
  <c r="I146" i="1"/>
  <c r="G121" i="1"/>
  <c r="G90" i="1"/>
  <c r="I118" i="1"/>
  <c r="G107" i="1"/>
  <c r="G103" i="1"/>
  <c r="G86" i="1"/>
  <c r="I123" i="1"/>
  <c r="G99" i="1"/>
  <c r="G94" i="1"/>
  <c r="G82" i="1"/>
  <c r="G151" i="1"/>
  <c r="G77" i="1"/>
  <c r="I150" i="1"/>
  <c r="I142" i="1"/>
  <c r="I126" i="1"/>
  <c r="I122" i="1"/>
  <c r="I114" i="1"/>
  <c r="G110" i="1"/>
  <c r="G106" i="1"/>
  <c r="G102" i="1"/>
  <c r="G89" i="1"/>
  <c r="G85" i="1"/>
  <c r="I153" i="1"/>
  <c r="G132" i="1"/>
  <c r="G98" i="1"/>
  <c r="G81" i="1"/>
  <c r="G134" i="1"/>
  <c r="I129" i="1"/>
  <c r="I96" i="1"/>
  <c r="G93" i="1"/>
  <c r="I80" i="1"/>
  <c r="G76" i="1"/>
  <c r="I107" i="1"/>
  <c r="G105" i="1"/>
  <c r="I100" i="1"/>
  <c r="I94" i="1"/>
  <c r="G92" i="1"/>
  <c r="I86" i="1"/>
  <c r="I81" i="1"/>
  <c r="G78" i="1"/>
  <c r="I127" i="1"/>
  <c r="I116" i="1"/>
  <c r="I105" i="1"/>
  <c r="I92" i="1"/>
  <c r="I78" i="1"/>
  <c r="G59" i="1"/>
  <c r="G73" i="1"/>
  <c r="I72" i="1"/>
  <c r="I74" i="1"/>
  <c r="I73" i="1"/>
  <c r="G74" i="1"/>
  <c r="G72" i="1"/>
  <c r="I69" i="1"/>
  <c r="G54" i="1"/>
  <c r="I62" i="1"/>
  <c r="G58" i="1"/>
  <c r="I65" i="1"/>
  <c r="I64" i="1"/>
  <c r="G63" i="1"/>
  <c r="G62" i="1"/>
  <c r="G56" i="1"/>
  <c r="I71" i="1"/>
  <c r="G64" i="1"/>
  <c r="I63" i="1"/>
  <c r="G55" i="1"/>
  <c r="G67" i="1"/>
  <c r="I66" i="1"/>
  <c r="G65" i="1"/>
  <c r="G69" i="1"/>
  <c r="G71" i="1"/>
  <c r="I55" i="1"/>
  <c r="G66" i="1"/>
  <c r="I67" i="1"/>
  <c r="I57" i="1"/>
  <c r="I61" i="1"/>
  <c r="I54" i="1"/>
  <c r="G57" i="1"/>
  <c r="I59" i="1"/>
  <c r="I58" i="1"/>
  <c r="G61" i="1"/>
  <c r="I56" i="1"/>
  <c r="G53" i="1"/>
  <c r="I53" i="1"/>
  <c r="I46" i="1"/>
  <c r="G47" i="1"/>
  <c r="G46" i="1"/>
  <c r="I45" i="1"/>
  <c r="I50" i="1"/>
  <c r="G45" i="1"/>
  <c r="G50" i="1"/>
  <c r="I37" i="1"/>
  <c r="G49" i="1"/>
  <c r="I48" i="1"/>
  <c r="I29" i="1"/>
  <c r="G51" i="1"/>
  <c r="G48" i="1"/>
  <c r="I31" i="1"/>
  <c r="I51" i="1"/>
  <c r="I49" i="1"/>
  <c r="I47" i="1"/>
  <c r="G11" i="1"/>
  <c r="G9" i="1"/>
  <c r="G35" i="1"/>
  <c r="G34" i="1"/>
  <c r="G10" i="1"/>
  <c r="G33" i="1"/>
  <c r="I30" i="1"/>
  <c r="I43" i="1"/>
  <c r="I11" i="1"/>
  <c r="I34" i="1"/>
  <c r="I33" i="1"/>
  <c r="I39" i="1"/>
  <c r="I23" i="1"/>
  <c r="I38" i="1"/>
  <c r="I22" i="1"/>
  <c r="I27" i="1"/>
  <c r="I35" i="1"/>
  <c r="I42" i="1"/>
  <c r="I26" i="1"/>
  <c r="I10" i="1"/>
  <c r="I41" i="1"/>
  <c r="I25" i="1"/>
  <c r="I9" i="1"/>
  <c r="G37" i="1"/>
  <c r="G21" i="1"/>
  <c r="I21" i="1"/>
  <c r="G31" i="1"/>
  <c r="G30" i="1"/>
  <c r="G29" i="1"/>
  <c r="G43" i="1"/>
  <c r="G27" i="1"/>
  <c r="G42" i="1"/>
  <c r="G26" i="1"/>
  <c r="G41" i="1"/>
  <c r="G25" i="1"/>
  <c r="G39" i="1"/>
  <c r="G23" i="1"/>
  <c r="G38" i="1"/>
  <c r="G22" i="1"/>
</calcChain>
</file>

<file path=xl/sharedStrings.xml><?xml version="1.0" encoding="utf-8"?>
<sst xmlns="http://schemas.openxmlformats.org/spreadsheetml/2006/main" count="477" uniqueCount="163">
  <si>
    <t>States</t>
  </si>
  <si>
    <t>Icons</t>
  </si>
  <si>
    <t>Action</t>
  </si>
  <si>
    <t>StreamdeckKey</t>
  </si>
  <si>
    <t>        HELP = InputEventMap.KEY_ASTERISK</t>
  </si>
  <si>
    <t>        MENU = InputEventMap.KEY_5</t>
  </si>
  <si>
    <t>FinalState</t>
  </si>
  <si>
    <t>Main</t>
  </si>
  <si>
    <t>System</t>
  </si>
  <si>
    <t>InitialiseLcl</t>
  </si>
  <si>
    <t>InitialiseHi1</t>
  </si>
  <si>
    <t>InitialiseHi2</t>
  </si>
  <si>
    <t>InitialiseHi3</t>
  </si>
  <si>
    <t>InitialiseEx1</t>
  </si>
  <si>
    <t>InitialiseEx2</t>
  </si>
  <si>
    <t>InitialiseAudio</t>
  </si>
  <si>
    <t>InitialiseRc1</t>
  </si>
  <si>
    <t>InitialiseRc2</t>
  </si>
  <si>
    <t>OnRecord</t>
  </si>
  <si>
    <t>ImageFileName</t>
  </si>
  <si>
    <t>KeyMapping</t>
  </si>
  <si>
    <t>Short</t>
  </si>
  <si>
    <t>Mnemonic</t>
  </si>
  <si>
    <t>KeyNumber</t>
  </si>
  <si>
    <t>SelectLanguage</t>
  </si>
  <si>
    <t>SetDate</t>
  </si>
  <si>
    <t>SetTime</t>
  </si>
  <si>
    <t>SetName</t>
  </si>
  <si>
    <t>Playback</t>
  </si>
  <si>
    <t>PlaybackPaused</t>
  </si>
  <si>
    <t>StorageManagement</t>
  </si>
  <si>
    <t>        INIT_AUDIO = InputEventMap.KEY_1</t>
  </si>
  <si>
    <t>        SKIP_AUDIO = InputEventMap.KEY_2</t>
  </si>
  <si>
    <t xml:space="preserve">        HELP = InputEventMap.KEY_ASTERISK</t>
  </si>
  <si>
    <t>        DETECT_DEVICE = InputEventMap.KEY_1</t>
  </si>
  <si>
    <t>        SKIP_DEVICE = InputEventMap.KEY_2</t>
  </si>
  <si>
    <t>        FORMAT_DEVICE = InputEventMap.KEY_6</t>
  </si>
  <si>
    <t>        MOUNT_DEVICE = InputEventMap.KEY_7</t>
  </si>
  <si>
    <t>        UNMOUNT_DEVICE = InputEventMap.KEY_8</t>
  </si>
  <si>
    <t>        CLEAN_DEVICE = InputEventMap.KEY_9</t>
  </si>
  <si>
    <t>        START_RECORDING_MX0 = InputEventMap.KEY_1</t>
  </si>
  <si>
    <t>        START_RECORDING_MX1 = InputEventMap.KEY_2</t>
  </si>
  <si>
    <t>        START_RECORDING_MX2 = InputEventMap.KEY_3</t>
  </si>
  <si>
    <t>        START_PLAYBACK = InputEventMap.KEY_4</t>
  </si>
  <si>
    <t>        SET_NAME = InputEventMap.KEY_6</t>
  </si>
  <si>
    <t>        STOP_SYSTEM = InputEventMap.KEY_9</t>
  </si>
  <si>
    <t>        STOP_RECORDING = InputEventMap.KEY_1</t>
  </si>
  <si>
    <t>        SET_CUE = InputEventMap.KEY_2</t>
  </si>
  <si>
    <t>        SHOW_STATUS = InputEventMap.KEY_4</t>
  </si>
  <si>
    <t>        PAUSE_RESUME = InputEventMap.KEY_0</t>
  </si>
  <si>
    <t>        JUMP_CLIP_END = InputEventMap.KEY_1</t>
  </si>
  <si>
    <t>        SEEK_NEXT = InputEventMap.KEY_2</t>
  </si>
  <si>
    <t>        JUMP_CUE_NEXT = InputEventMap.KEY_3</t>
  </si>
  <si>
    <t>        JUMP_CLIP_PREVIOUS = InputEventMap.KEY_4</t>
  </si>
  <si>
    <t>        JUMP_CLIP_NEXT = InputEventMap.KEY_6</t>
  </si>
  <si>
    <t>        JUMP_CLIP_START = InputEventMap.KEY_7</t>
  </si>
  <si>
    <t>        SEEK_PREVIOUS = InputEventMap.KEY_8</t>
  </si>
  <si>
    <t>        JUMP_CUE_PREVIOUS = InputEventMap.KEY_9</t>
  </si>
  <si>
    <t>        SELECT_ENGLISH = InputEventMap.KEY_1</t>
  </si>
  <si>
    <t>        SELECT_GERMAN = InputEventMap.KEY_2</t>
  </si>
  <si>
    <t>        SELECT_FRENCH = InputEventMap.KEY_3</t>
  </si>
  <si>
    <t>        SELECT_ITALIAN = InputEventMap.KEY_4</t>
  </si>
  <si>
    <t>        DIGIT_0 = InputEventMap.KEY_0</t>
  </si>
  <si>
    <t>        DIGIT_1 = InputEventMap.KEY_1</t>
  </si>
  <si>
    <t>        DIGIT_2 = InputEventMap.KEY_2</t>
  </si>
  <si>
    <t>        DIGIT_3 = InputEventMap.KEY_3</t>
  </si>
  <si>
    <t>        DIGIT_4 = InputEventMap.KEY_4</t>
  </si>
  <si>
    <t>        DIGIT_5 = InputEventMap.KEY_5</t>
  </si>
  <si>
    <t>        DIGIT_6 = InputEventMap.KEY_6</t>
  </si>
  <si>
    <t>        DIGIT_7 = InputEventMap.KEY_7</t>
  </si>
  <si>
    <t>        DIGIT_8 = InputEventMap.KEY_8</t>
  </si>
  <si>
    <t>        DIGIT_9 = InputEventMap.KEY_9</t>
  </si>
  <si>
    <t>        BACK_SPACE = InputEventMap.KEY_BACKSPACE</t>
  </si>
  <si>
    <t>        ENTER = InputEventMap.KEY_ENTER</t>
  </si>
  <si>
    <t>        DISCONNECT_STORAGE = InputEventMap.KEY_0</t>
  </si>
  <si>
    <t>        DETECT_RC1 = InputEventMap.KEY_1</t>
  </si>
  <si>
    <t>        DETECT_RC2 = InputEventMap.KEY_3</t>
  </si>
  <si>
    <t>        FORMAT_RC1 = InputEventMap.KEY_4</t>
  </si>
  <si>
    <t>        FORMAT_RC2 = InputEventMap.KEY_6</t>
  </si>
  <si>
    <t>        CLEAN_RC1 = InputEventMap.KEY_7</t>
  </si>
  <si>
    <t>        CLEAN_RC2 = InputEventMap.KEY_9</t>
  </si>
  <si>
    <t>        SELECT_MAIN = InputEventMap.KEY_1</t>
  </si>
  <si>
    <t>        SELECT_LANGUAGE = InputEventMap.KEY_2</t>
  </si>
  <si>
    <t>        SELECT_STORAGE = InputEventMap.KEY_3</t>
  </si>
  <si>
    <t>        SET_DATE = InputEventMap.KEY_4</t>
  </si>
  <si>
    <t>        SET_TIME = InputEventMap.KEY_6</t>
  </si>
  <si>
    <t xml:space="preserve">        SCREEN = InputEventMap.KEY_ASTERISK</t>
  </si>
  <si>
    <t>ic_fluent_lightbulb_48_regular.png</t>
  </si>
  <si>
    <t>ic_fluent_settings_48_regular.png</t>
  </si>
  <si>
    <t>ic_fluent_speaker_2_48_regular.png</t>
  </si>
  <si>
    <t>ic_fluent_skip_forward_tab_24_regular.png</t>
  </si>
  <si>
    <t>ic_fluent_search_48_regular.png</t>
  </si>
  <si>
    <t>ic_fluent_database_warning_20_regular.png</t>
  </si>
  <si>
    <t>ic_fluent_database_checkmark_24_regular.png</t>
  </si>
  <si>
    <t>ic_fluent_database_arrow_down_20_regular.png</t>
  </si>
  <si>
    <t>ic_fluent_eraser_24_regular.png</t>
  </si>
  <si>
    <t>ic_fluent_home_48_regular.png</t>
  </si>
  <si>
    <t>ic_fluent_home_48_regular_pink.png</t>
  </si>
  <si>
    <t>        SCREEN = InputEventMap.KEY_ASTERISK</t>
  </si>
  <si>
    <t>ic_fluent_speaker_2_48_regular_pink.png</t>
  </si>
  <si>
    <t>ic_fluent_phone_48_regular_blue.png</t>
  </si>
  <si>
    <t>ic_fluent_phone_48_regular_green.png</t>
  </si>
  <si>
    <t>ic_fluent_power_28_regular.png</t>
  </si>
  <si>
    <t>ic_fluent_power_28_regular_pink.png</t>
  </si>
  <si>
    <t>ic_fluent_keyboard_24_regular_yellow.png</t>
  </si>
  <si>
    <t>ic_fluent_app_folder_48_regular_yellow.png</t>
  </si>
  <si>
    <t>ic_fluent_music_note_2_24_regular_yellow.png</t>
  </si>
  <si>
    <t>ic_fluent_speaker_box_24_regular_grey.png</t>
  </si>
  <si>
    <t>ic_fluent_usb_stick_24_regular_red.png</t>
  </si>
  <si>
    <t>ic_fluent_usb_stick_24_regular_orange.png</t>
  </si>
  <si>
    <t>ic_fluent_record_48_regular.png</t>
  </si>
  <si>
    <t>ic_fluent_play_48_regular.png</t>
  </si>
  <si>
    <t>ic_fluent_text_edit_style_character_a_32_regular.png</t>
  </si>
  <si>
    <t>ic_fluent_record_48_regular_pink.png</t>
  </si>
  <si>
    <t>ic_fluent_stop_24_regular.png</t>
  </si>
  <si>
    <t>ic_fluent_bookmark_add_24_regular.png</t>
  </si>
  <si>
    <t>ic_fluent_text_grammar_error_20_regular.png</t>
  </si>
  <si>
    <t>ic_fluent_play_48_regular_pink.png</t>
  </si>
  <si>
    <t>ic_fluent_pause_48_regular.png</t>
  </si>
  <si>
    <t>ic_fluent_next_48_regular.png</t>
  </si>
  <si>
    <t>ic_fluent_skip_forward_30_48_regular.png</t>
  </si>
  <si>
    <t>ic_fluent_skip_forward_bookmark_regular.png</t>
  </si>
  <si>
    <t>ic_fluent_skip_back_bookmark_regular.png</t>
  </si>
  <si>
    <t>ic_fluent_previous_48_regular.png</t>
  </si>
  <si>
    <t>ic_fluent_skip_back_10_48_regular.png</t>
  </si>
  <si>
    <t>ic_fluent_globe_48_regular_pink.png</t>
  </si>
  <si>
    <t>gb.png</t>
  </si>
  <si>
    <t>de.png</t>
  </si>
  <si>
    <t>fr.png</t>
  </si>
  <si>
    <t>it.png</t>
  </si>
  <si>
    <t>ic_fluent_calendar_edit_32_regular_pink.png</t>
  </si>
  <si>
    <t>ic_fluent_number_circle_0_48_regular.png</t>
  </si>
  <si>
    <t>ic_fluent_number_circle_1_48_regular.png</t>
  </si>
  <si>
    <t>ic_fluent_number_circle_2_48_regular.png</t>
  </si>
  <si>
    <t>ic_fluent_number_circle_3_48_regular.png</t>
  </si>
  <si>
    <t>ic_fluent_number_circle_4_48_regular.png</t>
  </si>
  <si>
    <t>ic_fluent_number_circle_5_48_regular.png</t>
  </si>
  <si>
    <t>ic_fluent_number_circle_6_48_regular.png</t>
  </si>
  <si>
    <t>ic_fluent_number_circle_7_48_regular.png</t>
  </si>
  <si>
    <t>ic_fluent_number_circle_8_48_regular.png</t>
  </si>
  <si>
    <t>ic_fluent_number_circle_9_48_regular.png</t>
  </si>
  <si>
    <t>ic_fluent_backspace_24_regular.png</t>
  </si>
  <si>
    <t>ic_fluent_arrow_enter_left_24_regular.png</t>
  </si>
  <si>
    <t>ic_fluent_text_edit_style_character_a_32_regular_pink.png</t>
  </si>
  <si>
    <t>ic_fluent_time_picker_24_regular_pink.png</t>
  </si>
  <si>
    <t>ic_fluent_usb_stick_24_regular_pink.png</t>
  </si>
  <si>
    <t>ic_fluent_plug_disconnected_48_regular.png</t>
  </si>
  <si>
    <t>ic_fluent_settings_48_regular_pink.png</t>
  </si>
  <si>
    <t>ic_fluent_globe_48_regular.png</t>
  </si>
  <si>
    <t>ic_fluent_usb_stick_24_regular.png</t>
  </si>
  <si>
    <t>ic_fluent_calendar_edit_32_regular.png</t>
  </si>
  <si>
    <t>ic_fluent_time_picker_24_regular.png</t>
  </si>
  <si>
    <t>        DELETE_LAST_TAKE = InputEventMap.KEY_7</t>
  </si>
  <si>
    <t>ic_fluent_next_frame_24_filled.png</t>
  </si>
  <si>
    <t>ic_fluent_previous_frame_24_filled.png</t>
  </si>
  <si>
    <t>character_b_upper.png</t>
  </si>
  <si>
    <t>char_b</t>
  </si>
  <si>
    <t>char_y</t>
  </si>
  <si>
    <t>char_e</t>
  </si>
  <si>
    <t>character_e_upper.png</t>
  </si>
  <si>
    <t>character_y_upper.png</t>
  </si>
  <si>
    <t>InitialiseIn1</t>
  </si>
  <si>
    <t>InitialiseIn2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</si>
</sst>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1C0B-96C3-4FC0-B828-7FD785B358D7}">
  <dimension ref="A1:I156"/>
  <sheetViews>
    <sheetView tabSelected="1" topLeftCell="C1" workbookViewId="0">
      <selection activeCell="G13" sqref="G13"/>
    </sheetView>
  </sheetViews>
  <sheetFormatPr defaultRowHeight="14.25" x14ac:dyDescent="0.45"/>
  <cols>
    <col min="1" max="1" width="17.73046875" bestFit="1" customWidth="1"/>
    <col min="2" max="2" width="42.19921875" bestFit="1" customWidth="1"/>
    <col min="3" max="3" width="46.265625" bestFit="1" customWidth="1"/>
    <col min="4" max="5" width="13.1328125" customWidth="1"/>
    <col min="6" max="6" width="17.9296875" customWidth="1"/>
    <col min="7" max="7" width="45.1328125" bestFit="1" customWidth="1"/>
    <col min="8" max="8" width="24.33203125" bestFit="1" customWidth="1"/>
    <col min="9" max="9" width="45.796875" bestFit="1" customWidth="1"/>
  </cols>
  <sheetData>
    <row r="1" spans="1:9" s="1" customFormat="1" x14ac:dyDescent="0.45">
      <c r="A1" s="1" t="s">
        <v>0</v>
      </c>
      <c r="B1" s="1" t="s">
        <v>2</v>
      </c>
      <c r="C1" s="1" t="s">
        <v>1</v>
      </c>
      <c r="D1" s="1" t="s">
        <v>23</v>
      </c>
      <c r="E1" s="1" t="s">
        <v>22</v>
      </c>
      <c r="F1" s="1" t="s">
        <v>3</v>
      </c>
      <c r="G1" s="1" t="s">
        <v>19</v>
      </c>
      <c r="H1" s="1" t="s">
        <v>21</v>
      </c>
      <c r="I1" s="1" t="s">
        <v>20</v>
      </c>
    </row>
    <row r="2" spans="1:9" x14ac:dyDescent="0.45">
      <c r="A2" t="s">
        <v>6</v>
      </c>
      <c r="B2" t="s">
        <v>98</v>
      </c>
      <c r="C2" t="s">
        <v>103</v>
      </c>
      <c r="D2">
        <v>0</v>
      </c>
      <c r="E2" t="str">
        <f t="shared" ref="E2" si="0">LOWER(
  TRIM(
    SUBSTITUTE(
      LEFT(B2, FIND(" = InputEventMap", B2) - 1),
      CHAR(160),
      " "
    )
  )
)</f>
        <v>screen</v>
      </c>
      <c r="F2" t="str">
        <f t="shared" ref="F2:F7" si="1">"KEY_" &amp; CHOOSE(
    D2+1,
    "00","01","02","03","04","05","06","07","08","09","0A","0B","0C","0D","0E"
)</f>
        <v>KEY_00</v>
      </c>
      <c r="G2" t="str">
        <f t="shared" ref="G2" si="2">_xlfn.CONCAT(A2, "-", F2, "-", E2, ".png")</f>
        <v>FinalState-KEY_00-screen.png</v>
      </c>
      <c r="H2" t="str">
        <f t="shared" ref="H2" si="3">MID(B2, FIND("InputEventMap", B2), LEN(B2))</f>
        <v>InputEventMap.KEY_ASTERISK</v>
      </c>
      <c r="I2" t="str">
        <f t="shared" ref="I2:I7" si="4">_xlfn.CONCAT("StreamdeckInput.", F2, ": ", H2, ",")</f>
        <v>StreamdeckInput.KEY_00: InputEventMap.KEY_ASTERISK,</v>
      </c>
    </row>
    <row r="3" spans="1:9" x14ac:dyDescent="0.45">
      <c r="A3" t="s">
        <v>6</v>
      </c>
      <c r="B3" t="s">
        <v>4</v>
      </c>
      <c r="C3" t="s">
        <v>87</v>
      </c>
      <c r="D3">
        <v>4</v>
      </c>
      <c r="E3" t="str">
        <f t="shared" ref="E3" si="5">LOWER(
  TRIM(
    SUBSTITUTE(
      LEFT(B3, FIND(" = InputEventMap", B3) - 1),
      CHAR(160),
      " "
    )
  )
)</f>
        <v>help</v>
      </c>
      <c r="F3" t="str">
        <f t="shared" si="1"/>
        <v>KEY_04</v>
      </c>
      <c r="G3" t="str">
        <f t="shared" ref="G3" si="6">_xlfn.CONCAT(A3, "-", F3, "-", E3, ".png")</f>
        <v>FinalState-KEY_04-help.png</v>
      </c>
      <c r="H3" t="str">
        <f t="shared" ref="H3" si="7">MID(B3, FIND("InputEventMap", B3), LEN(B3))</f>
        <v>InputEventMap.KEY_ASTERISK</v>
      </c>
      <c r="I3" t="str">
        <f t="shared" si="4"/>
        <v>StreamdeckInput.KEY_04: InputEventMap.KEY_ASTERISK,</v>
      </c>
    </row>
    <row r="4" spans="1:9" x14ac:dyDescent="0.45">
      <c r="A4" t="s">
        <v>6</v>
      </c>
      <c r="B4" t="s">
        <v>98</v>
      </c>
      <c r="C4" t="s">
        <v>155</v>
      </c>
      <c r="D4">
        <v>6</v>
      </c>
      <c r="E4" t="s">
        <v>156</v>
      </c>
      <c r="F4" t="str">
        <f t="shared" si="1"/>
        <v>KEY_06</v>
      </c>
      <c r="G4" t="str">
        <f t="shared" ref="G4" si="8">_xlfn.CONCAT(A4, "-", F4, "-", E4, ".png")</f>
        <v>FinalState-KEY_06-char_b.png</v>
      </c>
      <c r="H4" t="str">
        <f t="shared" ref="H4" si="9">MID(B4, FIND("InputEventMap", B4), LEN(B4))</f>
        <v>InputEventMap.KEY_ASTERISK</v>
      </c>
      <c r="I4" t="str">
        <f t="shared" si="4"/>
        <v>StreamdeckInput.KEY_06: InputEventMap.KEY_ASTERISK,</v>
      </c>
    </row>
    <row r="5" spans="1:9" x14ac:dyDescent="0.45">
      <c r="A5" t="s">
        <v>6</v>
      </c>
      <c r="B5" t="s">
        <v>98</v>
      </c>
      <c r="C5" t="s">
        <v>160</v>
      </c>
      <c r="D5">
        <v>7</v>
      </c>
      <c r="E5" t="s">
        <v>157</v>
      </c>
      <c r="F5" t="str">
        <f t="shared" si="1"/>
        <v>KEY_07</v>
      </c>
      <c r="G5" t="str">
        <f t="shared" ref="G5:G6" si="10">_xlfn.CONCAT(A5, "-", F5, "-", E5, ".png")</f>
        <v>FinalState-KEY_07-char_y.png</v>
      </c>
      <c r="H5" t="str">
        <f t="shared" ref="H5:H6" si="11">MID(B5, FIND("InputEventMap", B5), LEN(B5))</f>
        <v>InputEventMap.KEY_ASTERISK</v>
      </c>
      <c r="I5" t="str">
        <f t="shared" si="4"/>
        <v>StreamdeckInput.KEY_07: InputEventMap.KEY_ASTERISK,</v>
      </c>
    </row>
    <row r="6" spans="1:9" x14ac:dyDescent="0.45">
      <c r="A6" t="s">
        <v>6</v>
      </c>
      <c r="B6" t="s">
        <v>98</v>
      </c>
      <c r="C6" t="s">
        <v>159</v>
      </c>
      <c r="D6">
        <v>8</v>
      </c>
      <c r="E6" t="s">
        <v>158</v>
      </c>
      <c r="F6" t="str">
        <f t="shared" si="1"/>
        <v>KEY_08</v>
      </c>
      <c r="G6" t="str">
        <f t="shared" si="10"/>
        <v>FinalState-KEY_08-char_e.png</v>
      </c>
      <c r="H6" t="str">
        <f t="shared" si="11"/>
        <v>InputEventMap.KEY_ASTERISK</v>
      </c>
      <c r="I6" t="str">
        <f t="shared" si="4"/>
        <v>StreamdeckInput.KEY_08: InputEventMap.KEY_ASTERISK,</v>
      </c>
    </row>
    <row r="7" spans="1:9" x14ac:dyDescent="0.45">
      <c r="A7" t="s">
        <v>6</v>
      </c>
      <c r="B7" t="s">
        <v>5</v>
      </c>
      <c r="C7" t="s">
        <v>96</v>
      </c>
      <c r="D7">
        <v>9</v>
      </c>
      <c r="E7" t="str">
        <f t="shared" ref="E7" si="12">LOWER(
  TRIM(
    SUBSTITUTE(
      LEFT(B7, FIND(" = InputEventMap", B7) - 1),
      CHAR(160),
      " "
    )
  )
)</f>
        <v>menu</v>
      </c>
      <c r="F7" t="str">
        <f t="shared" si="1"/>
        <v>KEY_09</v>
      </c>
      <c r="G7" t="str">
        <f t="shared" ref="G7" si="13">_xlfn.CONCAT(A7, "-", F7, "-", E7, ".png")</f>
        <v>FinalState-KEY_09-menu.png</v>
      </c>
      <c r="H7" t="str">
        <f t="shared" ref="H7" si="14">MID(B7, FIND("InputEventMap", B7), LEN(B7))</f>
        <v>InputEventMap.KEY_5</v>
      </c>
      <c r="I7" t="str">
        <f t="shared" si="4"/>
        <v>StreamdeckInput.KEY_09: InputEventMap.KEY_5,</v>
      </c>
    </row>
    <row r="8" spans="1:9" x14ac:dyDescent="0.45">
      <c r="A8" t="s">
        <v>15</v>
      </c>
      <c r="B8" t="s">
        <v>98</v>
      </c>
      <c r="C8" t="s">
        <v>99</v>
      </c>
      <c r="D8">
        <v>0</v>
      </c>
      <c r="E8" t="str">
        <f t="shared" ref="E8" si="15">LOWER(
  TRIM(
    SUBSTITUTE(
      LEFT(B8, FIND(" = InputEventMap", B8) - 1),
      CHAR(160),
      " "
    )
  )
)</f>
        <v>screen</v>
      </c>
      <c r="F8" t="str">
        <f t="shared" ref="F8" si="16">"KEY_" &amp; CHOOSE(
    D8+1,
    "00","01","02","03","04","05","06","07","08","09","0A","0B","0C","0D","0E"
)</f>
        <v>KEY_00</v>
      </c>
      <c r="G8" t="str">
        <f t="shared" ref="G8" si="17">_xlfn.CONCAT(A8, "-", F8, "-", E8, ".png")</f>
        <v>InitialiseAudio-KEY_00-screen.png</v>
      </c>
      <c r="H8" t="str">
        <f t="shared" ref="H8" si="18">MID(B8, FIND("InputEventMap", B8), LEN(B8))</f>
        <v>InputEventMap.KEY_ASTERISK</v>
      </c>
      <c r="I8" t="str">
        <f t="shared" ref="I8" si="19">_xlfn.CONCAT("StreamdeckInput.", F8, ": ", H8, ",")</f>
        <v>StreamdeckInput.KEY_00: InputEventMap.KEY_ASTERISK,</v>
      </c>
    </row>
    <row r="9" spans="1:9" x14ac:dyDescent="0.45">
      <c r="A9" t="s">
        <v>15</v>
      </c>
      <c r="B9" t="s">
        <v>4</v>
      </c>
      <c r="C9" t="s">
        <v>87</v>
      </c>
      <c r="D9">
        <v>4</v>
      </c>
      <c r="E9" t="str">
        <f t="shared" ref="E9:E44" si="20">LOWER(
  TRIM(
    SUBSTITUTE(
      LEFT(B9, FIND(" = InputEventMap", B9) - 1),
      CHAR(160),
      " "
    )
  )
)</f>
        <v>help</v>
      </c>
      <c r="F9" t="str">
        <f t="shared" ref="F9:F71" si="21">"KEY_" &amp; CHOOSE(
    D9+1,
    "00","01","02","03","04","05","06","07","08","09","0A","0B","0C","0D","0E"
)</f>
        <v>KEY_04</v>
      </c>
      <c r="G9" t="str">
        <f t="shared" ref="G9:G44" si="22">_xlfn.CONCAT(A9, "-", F9, "-", E9, ".png")</f>
        <v>InitialiseAudio-KEY_04-help.png</v>
      </c>
      <c r="H9" t="str">
        <f t="shared" ref="H9:H44" si="23">MID(B9, FIND("InputEventMap", B9), LEN(B9))</f>
        <v>InputEventMap.KEY_ASTERISK</v>
      </c>
      <c r="I9" t="str">
        <f t="shared" ref="I9:I44" si="24">_xlfn.CONCAT("StreamdeckInput.", F9, ": ", H9, ",")</f>
        <v>StreamdeckInput.KEY_04: InputEventMap.KEY_ASTERISK,</v>
      </c>
    </row>
    <row r="10" spans="1:9" x14ac:dyDescent="0.45">
      <c r="A10" t="s">
        <v>15</v>
      </c>
      <c r="B10" t="s">
        <v>31</v>
      </c>
      <c r="C10" t="s">
        <v>89</v>
      </c>
      <c r="D10">
        <v>5</v>
      </c>
      <c r="E10" t="str">
        <f t="shared" si="20"/>
        <v>init_audio</v>
      </c>
      <c r="F10" t="str">
        <f t="shared" si="21"/>
        <v>KEY_05</v>
      </c>
      <c r="G10" t="str">
        <f t="shared" si="22"/>
        <v>InitialiseAudio-KEY_05-init_audio.png</v>
      </c>
      <c r="H10" t="str">
        <f t="shared" si="23"/>
        <v>InputEventMap.KEY_1</v>
      </c>
      <c r="I10" t="str">
        <f t="shared" si="24"/>
        <v>StreamdeckInput.KEY_05: InputEventMap.KEY_1,</v>
      </c>
    </row>
    <row r="11" spans="1:9" x14ac:dyDescent="0.45">
      <c r="A11" t="s">
        <v>15</v>
      </c>
      <c r="B11" t="s">
        <v>32</v>
      </c>
      <c r="C11" t="s">
        <v>90</v>
      </c>
      <c r="D11">
        <v>6</v>
      </c>
      <c r="E11" t="str">
        <f t="shared" si="20"/>
        <v>skip_audio</v>
      </c>
      <c r="F11" t="str">
        <f t="shared" si="21"/>
        <v>KEY_06</v>
      </c>
      <c r="G11" t="str">
        <f t="shared" si="22"/>
        <v>InitialiseAudio-KEY_06-skip_audio.png</v>
      </c>
      <c r="H11" t="str">
        <f t="shared" si="23"/>
        <v>InputEventMap.KEY_2</v>
      </c>
      <c r="I11" t="str">
        <f t="shared" si="24"/>
        <v>StreamdeckInput.KEY_06: InputEventMap.KEY_2,</v>
      </c>
    </row>
    <row r="12" spans="1:9" x14ac:dyDescent="0.45">
      <c r="A12" t="s">
        <v>161</v>
      </c>
      <c r="B12" t="s">
        <v>86</v>
      </c>
      <c r="C12" t="s">
        <v>100</v>
      </c>
      <c r="D12">
        <v>0</v>
      </c>
      <c r="E12" t="str">
        <f t="shared" si="20"/>
        <v>screen</v>
      </c>
      <c r="F12" t="str">
        <f t="shared" si="21"/>
        <v>KEY_00</v>
      </c>
      <c r="G12" t="str">
        <f t="shared" si="22"/>
        <v>InitialiseIn1-KEY_00-screen.png</v>
      </c>
      <c r="H12" t="str">
        <f t="shared" si="23"/>
        <v>InputEventMap.KEY_ASTERISK</v>
      </c>
      <c r="I12" t="str">
        <f t="shared" si="24"/>
        <v>StreamdeckInput.KEY_00: InputEventMap.KEY_ASTERISK,</v>
      </c>
    </row>
    <row r="13" spans="1:9" x14ac:dyDescent="0.45">
      <c r="A13" t="s">
        <v>161</v>
      </c>
      <c r="B13" t="s">
        <v>33</v>
      </c>
      <c r="C13" t="s">
        <v>87</v>
      </c>
      <c r="D13">
        <v>4</v>
      </c>
      <c r="E13" t="str">
        <f t="shared" ref="E13:E19" si="25">LOWER(
  TRIM(
    SUBSTITUTE(
      LEFT(B13, FIND(" = InputEventMap", B13) - 1),
      CHAR(160),
      " "
    )
  )
)</f>
        <v>help</v>
      </c>
      <c r="F13" t="str">
        <f t="shared" ref="F13:F19" si="26">"KEY_" &amp; CHOOSE(
    D13+1,
    "00","01","02","03","04","05","06","07","08","09","0A","0B","0C","0D","0E"
)</f>
        <v>KEY_04</v>
      </c>
      <c r="G13" t="str">
        <f t="shared" ref="G13:G19" si="27">_xlfn.CONCAT(A13, "-", F13, "-", E13, ".png")</f>
        <v>InitialiseIn1-KEY_04-help.png</v>
      </c>
      <c r="H13" t="str">
        <f t="shared" ref="H13:H19" si="28">MID(B13, FIND("InputEventMap", B13), LEN(B13))</f>
        <v>InputEventMap.KEY_ASTERISK</v>
      </c>
      <c r="I13" t="str">
        <f t="shared" ref="I13:I19" si="29">_xlfn.CONCAT("StreamdeckInput.", F13, ": ", H13, ",")</f>
        <v>StreamdeckInput.KEY_04: InputEventMap.KEY_ASTERISK,</v>
      </c>
    </row>
    <row r="14" spans="1:9" x14ac:dyDescent="0.45">
      <c r="A14" t="s">
        <v>161</v>
      </c>
      <c r="B14" t="s">
        <v>34</v>
      </c>
      <c r="C14" t="s">
        <v>91</v>
      </c>
      <c r="D14">
        <v>5</v>
      </c>
      <c r="E14" t="str">
        <f t="shared" si="25"/>
        <v>detect_device</v>
      </c>
      <c r="F14" t="str">
        <f t="shared" si="26"/>
        <v>KEY_05</v>
      </c>
      <c r="G14" t="str">
        <f t="shared" si="27"/>
        <v>InitialiseIn1-KEY_05-detect_device.png</v>
      </c>
      <c r="H14" t="str">
        <f t="shared" si="28"/>
        <v>InputEventMap.KEY_1</v>
      </c>
      <c r="I14" t="str">
        <f t="shared" si="29"/>
        <v>StreamdeckInput.KEY_05: InputEventMap.KEY_1,</v>
      </c>
    </row>
    <row r="15" spans="1:9" x14ac:dyDescent="0.45">
      <c r="A15" t="s">
        <v>161</v>
      </c>
      <c r="B15" t="s">
        <v>35</v>
      </c>
      <c r="C15" t="s">
        <v>90</v>
      </c>
      <c r="D15">
        <v>6</v>
      </c>
      <c r="E15" t="str">
        <f t="shared" si="25"/>
        <v>skip_device</v>
      </c>
      <c r="F15" t="str">
        <f t="shared" si="26"/>
        <v>KEY_06</v>
      </c>
      <c r="G15" t="str">
        <f t="shared" si="27"/>
        <v>InitialiseIn1-KEY_06-skip_device.png</v>
      </c>
      <c r="H15" t="str">
        <f t="shared" si="28"/>
        <v>InputEventMap.KEY_2</v>
      </c>
      <c r="I15" t="str">
        <f t="shared" si="29"/>
        <v>StreamdeckInput.KEY_06: InputEventMap.KEY_2,</v>
      </c>
    </row>
    <row r="16" spans="1:9" x14ac:dyDescent="0.45">
      <c r="A16" t="s">
        <v>162</v>
      </c>
      <c r="B16" t="s">
        <v>86</v>
      </c>
      <c r="C16" t="s">
        <v>100</v>
      </c>
      <c r="D16">
        <v>0</v>
      </c>
      <c r="E16" t="str">
        <f t="shared" si="25"/>
        <v>screen</v>
      </c>
      <c r="F16" t="str">
        <f t="shared" si="26"/>
        <v>KEY_00</v>
      </c>
      <c r="G16" t="str">
        <f t="shared" si="27"/>
        <v>InitialiseIn2-KEY_00-screen.png</v>
      </c>
      <c r="H16" t="str">
        <f t="shared" si="28"/>
        <v>InputEventMap.KEY_ASTERISK</v>
      </c>
      <c r="I16" t="str">
        <f t="shared" si="29"/>
        <v>StreamdeckInput.KEY_00: InputEventMap.KEY_ASTERISK,</v>
      </c>
    </row>
    <row r="17" spans="1:9" x14ac:dyDescent="0.45">
      <c r="A17" t="s">
        <v>162</v>
      </c>
      <c r="B17" t="s">
        <v>33</v>
      </c>
      <c r="C17" t="s">
        <v>87</v>
      </c>
      <c r="D17">
        <v>4</v>
      </c>
      <c r="E17" t="str">
        <f t="shared" si="25"/>
        <v>help</v>
      </c>
      <c r="F17" t="str">
        <f t="shared" si="26"/>
        <v>KEY_04</v>
      </c>
      <c r="G17" t="str">
        <f t="shared" si="27"/>
        <v>InitialiseIn2-KEY_04-help.png</v>
      </c>
      <c r="H17" t="str">
        <f t="shared" si="28"/>
        <v>InputEventMap.KEY_ASTERISK</v>
      </c>
      <c r="I17" t="str">
        <f t="shared" si="29"/>
        <v>StreamdeckInput.KEY_04: InputEventMap.KEY_ASTERISK,</v>
      </c>
    </row>
    <row r="18" spans="1:9" x14ac:dyDescent="0.45">
      <c r="A18" t="s">
        <v>162</v>
      </c>
      <c r="B18" t="s">
        <v>34</v>
      </c>
      <c r="C18" t="s">
        <v>91</v>
      </c>
      <c r="D18">
        <v>5</v>
      </c>
      <c r="E18" t="str">
        <f t="shared" si="25"/>
        <v>detect_device</v>
      </c>
      <c r="F18" t="str">
        <f t="shared" si="26"/>
        <v>KEY_05</v>
      </c>
      <c r="G18" t="str">
        <f t="shared" si="27"/>
        <v>InitialiseIn2-KEY_05-detect_device.png</v>
      </c>
      <c r="H18" t="str">
        <f t="shared" si="28"/>
        <v>InputEventMap.KEY_1</v>
      </c>
      <c r="I18" t="str">
        <f t="shared" si="29"/>
        <v>StreamdeckInput.KEY_05: InputEventMap.KEY_1,</v>
      </c>
    </row>
    <row r="19" spans="1:9" x14ac:dyDescent="0.45">
      <c r="A19" t="s">
        <v>162</v>
      </c>
      <c r="B19" t="s">
        <v>35</v>
      </c>
      <c r="C19" t="s">
        <v>90</v>
      </c>
      <c r="D19">
        <v>6</v>
      </c>
      <c r="E19" t="str">
        <f t="shared" si="25"/>
        <v>skip_device</v>
      </c>
      <c r="F19" t="str">
        <f t="shared" si="26"/>
        <v>KEY_06</v>
      </c>
      <c r="G19" t="str">
        <f t="shared" si="27"/>
        <v>InitialiseIn2-KEY_06-skip_device.png</v>
      </c>
      <c r="H19" t="str">
        <f t="shared" si="28"/>
        <v>InputEventMap.KEY_2</v>
      </c>
      <c r="I19" t="str">
        <f t="shared" si="29"/>
        <v>StreamdeckInput.KEY_06: InputEventMap.KEY_2,</v>
      </c>
    </row>
    <row r="20" spans="1:9" x14ac:dyDescent="0.45">
      <c r="A20" t="s">
        <v>13</v>
      </c>
      <c r="B20" t="s">
        <v>86</v>
      </c>
      <c r="C20" t="s">
        <v>100</v>
      </c>
      <c r="D20">
        <v>0</v>
      </c>
      <c r="E20" t="str">
        <f t="shared" ref="E20" si="30">LOWER(
  TRIM(
    SUBSTITUTE(
      LEFT(B20, FIND(" = InputEventMap", B20) - 1),
      CHAR(160),
      " "
    )
  )
)</f>
        <v>screen</v>
      </c>
      <c r="F20" t="str">
        <f t="shared" ref="F20" si="31">"KEY_" &amp; CHOOSE(
    D20+1,
    "00","01","02","03","04","05","06","07","08","09","0A","0B","0C","0D","0E"
)</f>
        <v>KEY_00</v>
      </c>
      <c r="G20" t="str">
        <f t="shared" ref="G20" si="32">_xlfn.CONCAT(A20, "-", F20, "-", E20, ".png")</f>
        <v>InitialiseEx1-KEY_00-screen.png</v>
      </c>
      <c r="H20" t="str">
        <f t="shared" ref="H20" si="33">MID(B20, FIND("InputEventMap", B20), LEN(B20))</f>
        <v>InputEventMap.KEY_ASTERISK</v>
      </c>
      <c r="I20" t="str">
        <f t="shared" ref="I20" si="34">_xlfn.CONCAT("StreamdeckInput.", F20, ": ", H20, ",")</f>
        <v>StreamdeckInput.KEY_00: InputEventMap.KEY_ASTERISK,</v>
      </c>
    </row>
    <row r="21" spans="1:9" x14ac:dyDescent="0.45">
      <c r="A21" t="s">
        <v>13</v>
      </c>
      <c r="B21" t="s">
        <v>33</v>
      </c>
      <c r="C21" t="s">
        <v>87</v>
      </c>
      <c r="D21">
        <v>4</v>
      </c>
      <c r="E21" t="str">
        <f t="shared" si="20"/>
        <v>help</v>
      </c>
      <c r="F21" t="str">
        <f t="shared" si="21"/>
        <v>KEY_04</v>
      </c>
      <c r="G21" t="str">
        <f t="shared" si="22"/>
        <v>InitialiseEx1-KEY_04-help.png</v>
      </c>
      <c r="H21" t="str">
        <f t="shared" si="23"/>
        <v>InputEventMap.KEY_ASTERISK</v>
      </c>
      <c r="I21" t="str">
        <f t="shared" si="24"/>
        <v>StreamdeckInput.KEY_04: InputEventMap.KEY_ASTERISK,</v>
      </c>
    </row>
    <row r="22" spans="1:9" x14ac:dyDescent="0.45">
      <c r="A22" t="s">
        <v>13</v>
      </c>
      <c r="B22" t="s">
        <v>34</v>
      </c>
      <c r="C22" t="s">
        <v>91</v>
      </c>
      <c r="D22">
        <v>5</v>
      </c>
      <c r="E22" t="str">
        <f t="shared" si="20"/>
        <v>detect_device</v>
      </c>
      <c r="F22" t="str">
        <f t="shared" si="21"/>
        <v>KEY_05</v>
      </c>
      <c r="G22" t="str">
        <f t="shared" si="22"/>
        <v>InitialiseEx1-KEY_05-detect_device.png</v>
      </c>
      <c r="H22" t="str">
        <f t="shared" si="23"/>
        <v>InputEventMap.KEY_1</v>
      </c>
      <c r="I22" t="str">
        <f t="shared" si="24"/>
        <v>StreamdeckInput.KEY_05: InputEventMap.KEY_1,</v>
      </c>
    </row>
    <row r="23" spans="1:9" x14ac:dyDescent="0.45">
      <c r="A23" t="s">
        <v>13</v>
      </c>
      <c r="B23" t="s">
        <v>35</v>
      </c>
      <c r="C23" t="s">
        <v>90</v>
      </c>
      <c r="D23">
        <v>6</v>
      </c>
      <c r="E23" t="str">
        <f t="shared" si="20"/>
        <v>skip_device</v>
      </c>
      <c r="F23" t="str">
        <f t="shared" si="21"/>
        <v>KEY_06</v>
      </c>
      <c r="G23" t="str">
        <f t="shared" si="22"/>
        <v>InitialiseEx1-KEY_06-skip_device.png</v>
      </c>
      <c r="H23" t="str">
        <f t="shared" si="23"/>
        <v>InputEventMap.KEY_2</v>
      </c>
      <c r="I23" t="str">
        <f t="shared" si="24"/>
        <v>StreamdeckInput.KEY_06: InputEventMap.KEY_2,</v>
      </c>
    </row>
    <row r="24" spans="1:9" x14ac:dyDescent="0.45">
      <c r="A24" t="s">
        <v>14</v>
      </c>
      <c r="B24" t="s">
        <v>86</v>
      </c>
      <c r="C24" t="s">
        <v>101</v>
      </c>
      <c r="D24">
        <v>0</v>
      </c>
      <c r="E24" t="str">
        <f t="shared" ref="E24" si="35">LOWER(
  TRIM(
    SUBSTITUTE(
      LEFT(B24, FIND(" = InputEventMap", B24) - 1),
      CHAR(160),
      " "
    )
  )
)</f>
        <v>screen</v>
      </c>
      <c r="F24" t="str">
        <f t="shared" ref="F24" si="36">"KEY_" &amp; CHOOSE(
    D24+1,
    "00","01","02","03","04","05","06","07","08","09","0A","0B","0C","0D","0E"
)</f>
        <v>KEY_00</v>
      </c>
      <c r="G24" t="str">
        <f t="shared" ref="G24" si="37">_xlfn.CONCAT(A24, "-", F24, "-", E24, ".png")</f>
        <v>InitialiseEx2-KEY_00-screen.png</v>
      </c>
      <c r="H24" t="str">
        <f t="shared" ref="H24" si="38">MID(B24, FIND("InputEventMap", B24), LEN(B24))</f>
        <v>InputEventMap.KEY_ASTERISK</v>
      </c>
      <c r="I24" t="str">
        <f t="shared" ref="I24" si="39">_xlfn.CONCAT("StreamdeckInput.", F24, ": ", H24, ",")</f>
        <v>StreamdeckInput.KEY_00: InputEventMap.KEY_ASTERISK,</v>
      </c>
    </row>
    <row r="25" spans="1:9" x14ac:dyDescent="0.45">
      <c r="A25" t="s">
        <v>14</v>
      </c>
      <c r="B25" t="s">
        <v>33</v>
      </c>
      <c r="C25" t="s">
        <v>87</v>
      </c>
      <c r="D25">
        <v>4</v>
      </c>
      <c r="E25" t="str">
        <f t="shared" si="20"/>
        <v>help</v>
      </c>
      <c r="F25" t="str">
        <f t="shared" si="21"/>
        <v>KEY_04</v>
      </c>
      <c r="G25" t="str">
        <f t="shared" si="22"/>
        <v>InitialiseEx2-KEY_04-help.png</v>
      </c>
      <c r="H25" t="str">
        <f t="shared" si="23"/>
        <v>InputEventMap.KEY_ASTERISK</v>
      </c>
      <c r="I25" t="str">
        <f t="shared" si="24"/>
        <v>StreamdeckInput.KEY_04: InputEventMap.KEY_ASTERISK,</v>
      </c>
    </row>
    <row r="26" spans="1:9" x14ac:dyDescent="0.45">
      <c r="A26" t="s">
        <v>14</v>
      </c>
      <c r="B26" t="s">
        <v>34</v>
      </c>
      <c r="C26" t="s">
        <v>91</v>
      </c>
      <c r="D26">
        <v>5</v>
      </c>
      <c r="E26" t="str">
        <f t="shared" si="20"/>
        <v>detect_device</v>
      </c>
      <c r="F26" t="str">
        <f t="shared" si="21"/>
        <v>KEY_05</v>
      </c>
      <c r="G26" t="str">
        <f t="shared" si="22"/>
        <v>InitialiseEx2-KEY_05-detect_device.png</v>
      </c>
      <c r="H26" t="str">
        <f t="shared" si="23"/>
        <v>InputEventMap.KEY_1</v>
      </c>
      <c r="I26" t="str">
        <f t="shared" si="24"/>
        <v>StreamdeckInput.KEY_05: InputEventMap.KEY_1,</v>
      </c>
    </row>
    <row r="27" spans="1:9" x14ac:dyDescent="0.45">
      <c r="A27" t="s">
        <v>14</v>
      </c>
      <c r="B27" t="s">
        <v>35</v>
      </c>
      <c r="C27" t="s">
        <v>90</v>
      </c>
      <c r="D27">
        <v>6</v>
      </c>
      <c r="E27" t="str">
        <f t="shared" si="20"/>
        <v>skip_device</v>
      </c>
      <c r="F27" t="str">
        <f t="shared" si="21"/>
        <v>KEY_06</v>
      </c>
      <c r="G27" t="str">
        <f t="shared" si="22"/>
        <v>InitialiseEx2-KEY_06-skip_device.png</v>
      </c>
      <c r="H27" t="str">
        <f t="shared" si="23"/>
        <v>InputEventMap.KEY_2</v>
      </c>
      <c r="I27" t="str">
        <f t="shared" si="24"/>
        <v>StreamdeckInput.KEY_06: InputEventMap.KEY_2,</v>
      </c>
    </row>
    <row r="28" spans="1:9" x14ac:dyDescent="0.45">
      <c r="A28" t="s">
        <v>10</v>
      </c>
      <c r="B28" t="s">
        <v>86</v>
      </c>
      <c r="C28" t="s">
        <v>104</v>
      </c>
      <c r="D28">
        <v>0</v>
      </c>
      <c r="E28" t="str">
        <f t="shared" ref="E28" si="40">LOWER(
  TRIM(
    SUBSTITUTE(
      LEFT(B28, FIND(" = InputEventMap", B28) - 1),
      CHAR(160),
      " "
    )
  )
)</f>
        <v>screen</v>
      </c>
      <c r="F28" t="str">
        <f t="shared" ref="F28" si="41">"KEY_" &amp; CHOOSE(
    D28+1,
    "00","01","02","03","04","05","06","07","08","09","0A","0B","0C","0D","0E"
)</f>
        <v>KEY_00</v>
      </c>
      <c r="G28" t="str">
        <f t="shared" ref="G28" si="42">_xlfn.CONCAT(A28, "-", F28, "-", E28, ".png")</f>
        <v>InitialiseHi1-KEY_00-screen.png</v>
      </c>
      <c r="H28" t="str">
        <f t="shared" ref="H28" si="43">MID(B28, FIND("InputEventMap", B28), LEN(B28))</f>
        <v>InputEventMap.KEY_ASTERISK</v>
      </c>
      <c r="I28" t="str">
        <f t="shared" ref="I28" si="44">_xlfn.CONCAT("StreamdeckInput.", F28, ": ", H28, ",")</f>
        <v>StreamdeckInput.KEY_00: InputEventMap.KEY_ASTERISK,</v>
      </c>
    </row>
    <row r="29" spans="1:9" x14ac:dyDescent="0.45">
      <c r="A29" t="s">
        <v>10</v>
      </c>
      <c r="B29" t="s">
        <v>33</v>
      </c>
      <c r="C29" t="s">
        <v>87</v>
      </c>
      <c r="D29">
        <v>4</v>
      </c>
      <c r="E29" t="str">
        <f t="shared" si="20"/>
        <v>help</v>
      </c>
      <c r="F29" t="str">
        <f t="shared" si="21"/>
        <v>KEY_04</v>
      </c>
      <c r="G29" t="str">
        <f t="shared" si="22"/>
        <v>InitialiseHi1-KEY_04-help.png</v>
      </c>
      <c r="H29" t="str">
        <f t="shared" si="23"/>
        <v>InputEventMap.KEY_ASTERISK</v>
      </c>
      <c r="I29" t="str">
        <f t="shared" si="24"/>
        <v>StreamdeckInput.KEY_04: InputEventMap.KEY_ASTERISK,</v>
      </c>
    </row>
    <row r="30" spans="1:9" x14ac:dyDescent="0.45">
      <c r="A30" t="s">
        <v>10</v>
      </c>
      <c r="B30" t="s">
        <v>34</v>
      </c>
      <c r="C30" t="s">
        <v>91</v>
      </c>
      <c r="D30">
        <v>5</v>
      </c>
      <c r="E30" t="str">
        <f t="shared" si="20"/>
        <v>detect_device</v>
      </c>
      <c r="F30" t="str">
        <f t="shared" si="21"/>
        <v>KEY_05</v>
      </c>
      <c r="G30" t="str">
        <f t="shared" si="22"/>
        <v>InitialiseHi1-KEY_05-detect_device.png</v>
      </c>
      <c r="H30" t="str">
        <f t="shared" si="23"/>
        <v>InputEventMap.KEY_1</v>
      </c>
      <c r="I30" t="str">
        <f t="shared" si="24"/>
        <v>StreamdeckInput.KEY_05: InputEventMap.KEY_1,</v>
      </c>
    </row>
    <row r="31" spans="1:9" x14ac:dyDescent="0.45">
      <c r="A31" t="s">
        <v>10</v>
      </c>
      <c r="B31" t="s">
        <v>35</v>
      </c>
      <c r="C31" t="s">
        <v>90</v>
      </c>
      <c r="D31">
        <v>6</v>
      </c>
      <c r="E31" t="str">
        <f t="shared" si="20"/>
        <v>skip_device</v>
      </c>
      <c r="F31" t="str">
        <f t="shared" si="21"/>
        <v>KEY_06</v>
      </c>
      <c r="G31" t="str">
        <f t="shared" si="22"/>
        <v>InitialiseHi1-KEY_06-skip_device.png</v>
      </c>
      <c r="H31" t="str">
        <f t="shared" si="23"/>
        <v>InputEventMap.KEY_2</v>
      </c>
      <c r="I31" t="str">
        <f t="shared" si="24"/>
        <v>StreamdeckInput.KEY_06: InputEventMap.KEY_2,</v>
      </c>
    </row>
    <row r="32" spans="1:9" x14ac:dyDescent="0.45">
      <c r="A32" t="s">
        <v>11</v>
      </c>
      <c r="B32" t="s">
        <v>86</v>
      </c>
      <c r="C32" t="s">
        <v>105</v>
      </c>
      <c r="D32">
        <v>0</v>
      </c>
      <c r="E32" t="str">
        <f t="shared" ref="E32" si="45">LOWER(
  TRIM(
    SUBSTITUTE(
      LEFT(B32, FIND(" = InputEventMap", B32) - 1),
      CHAR(160),
      " "
    )
  )
)</f>
        <v>screen</v>
      </c>
      <c r="F32" t="str">
        <f t="shared" ref="F32" si="46">"KEY_" &amp; CHOOSE(
    D32+1,
    "00","01","02","03","04","05","06","07","08","09","0A","0B","0C","0D","0E"
)</f>
        <v>KEY_00</v>
      </c>
      <c r="G32" t="str">
        <f t="shared" ref="G32" si="47">_xlfn.CONCAT(A32, "-", F32, "-", E32, ".png")</f>
        <v>InitialiseHi2-KEY_00-screen.png</v>
      </c>
      <c r="H32" t="str">
        <f t="shared" ref="H32" si="48">MID(B32, FIND("InputEventMap", B32), LEN(B32))</f>
        <v>InputEventMap.KEY_ASTERISK</v>
      </c>
      <c r="I32" t="str">
        <f t="shared" ref="I32" si="49">_xlfn.CONCAT("StreamdeckInput.", F32, ": ", H32, ",")</f>
        <v>StreamdeckInput.KEY_00: InputEventMap.KEY_ASTERISK,</v>
      </c>
    </row>
    <row r="33" spans="1:9" x14ac:dyDescent="0.45">
      <c r="A33" t="s">
        <v>11</v>
      </c>
      <c r="B33" t="s">
        <v>33</v>
      </c>
      <c r="C33" t="s">
        <v>87</v>
      </c>
      <c r="D33">
        <v>4</v>
      </c>
      <c r="E33" t="str">
        <f t="shared" si="20"/>
        <v>help</v>
      </c>
      <c r="F33" t="str">
        <f t="shared" si="21"/>
        <v>KEY_04</v>
      </c>
      <c r="G33" t="str">
        <f t="shared" si="22"/>
        <v>InitialiseHi2-KEY_04-help.png</v>
      </c>
      <c r="H33" t="str">
        <f t="shared" si="23"/>
        <v>InputEventMap.KEY_ASTERISK</v>
      </c>
      <c r="I33" t="str">
        <f t="shared" si="24"/>
        <v>StreamdeckInput.KEY_04: InputEventMap.KEY_ASTERISK,</v>
      </c>
    </row>
    <row r="34" spans="1:9" x14ac:dyDescent="0.45">
      <c r="A34" t="s">
        <v>11</v>
      </c>
      <c r="B34" t="s">
        <v>34</v>
      </c>
      <c r="C34" t="s">
        <v>91</v>
      </c>
      <c r="D34">
        <v>5</v>
      </c>
      <c r="E34" t="str">
        <f t="shared" si="20"/>
        <v>detect_device</v>
      </c>
      <c r="F34" t="str">
        <f t="shared" si="21"/>
        <v>KEY_05</v>
      </c>
      <c r="G34" t="str">
        <f t="shared" si="22"/>
        <v>InitialiseHi2-KEY_05-detect_device.png</v>
      </c>
      <c r="H34" t="str">
        <f t="shared" si="23"/>
        <v>InputEventMap.KEY_1</v>
      </c>
      <c r="I34" t="str">
        <f t="shared" si="24"/>
        <v>StreamdeckInput.KEY_05: InputEventMap.KEY_1,</v>
      </c>
    </row>
    <row r="35" spans="1:9" x14ac:dyDescent="0.45">
      <c r="A35" t="s">
        <v>11</v>
      </c>
      <c r="B35" t="s">
        <v>35</v>
      </c>
      <c r="C35" t="s">
        <v>90</v>
      </c>
      <c r="D35">
        <v>6</v>
      </c>
      <c r="E35" t="str">
        <f t="shared" si="20"/>
        <v>skip_device</v>
      </c>
      <c r="F35" t="str">
        <f t="shared" si="21"/>
        <v>KEY_06</v>
      </c>
      <c r="G35" t="str">
        <f t="shared" si="22"/>
        <v>InitialiseHi2-KEY_06-skip_device.png</v>
      </c>
      <c r="H35" t="str">
        <f t="shared" si="23"/>
        <v>InputEventMap.KEY_2</v>
      </c>
      <c r="I35" t="str">
        <f t="shared" si="24"/>
        <v>StreamdeckInput.KEY_06: InputEventMap.KEY_2,</v>
      </c>
    </row>
    <row r="36" spans="1:9" x14ac:dyDescent="0.45">
      <c r="A36" t="s">
        <v>12</v>
      </c>
      <c r="B36" t="s">
        <v>86</v>
      </c>
      <c r="C36" t="s">
        <v>106</v>
      </c>
      <c r="D36">
        <v>0</v>
      </c>
      <c r="E36" t="str">
        <f t="shared" ref="E36" si="50">LOWER(
  TRIM(
    SUBSTITUTE(
      LEFT(B36, FIND(" = InputEventMap", B36) - 1),
      CHAR(160),
      " "
    )
  )
)</f>
        <v>screen</v>
      </c>
      <c r="F36" t="str">
        <f t="shared" ref="F36" si="51">"KEY_" &amp; CHOOSE(
    D36+1,
    "00","01","02","03","04","05","06","07","08","09","0A","0B","0C","0D","0E"
)</f>
        <v>KEY_00</v>
      </c>
      <c r="G36" t="str">
        <f t="shared" ref="G36" si="52">_xlfn.CONCAT(A36, "-", F36, "-", E36, ".png")</f>
        <v>InitialiseHi3-KEY_00-screen.png</v>
      </c>
      <c r="H36" t="str">
        <f t="shared" ref="H36" si="53">MID(B36, FIND("InputEventMap", B36), LEN(B36))</f>
        <v>InputEventMap.KEY_ASTERISK</v>
      </c>
      <c r="I36" t="str">
        <f t="shared" ref="I36" si="54">_xlfn.CONCAT("StreamdeckInput.", F36, ": ", H36, ",")</f>
        <v>StreamdeckInput.KEY_00: InputEventMap.KEY_ASTERISK,</v>
      </c>
    </row>
    <row r="37" spans="1:9" x14ac:dyDescent="0.45">
      <c r="A37" t="s">
        <v>12</v>
      </c>
      <c r="B37" t="s">
        <v>33</v>
      </c>
      <c r="C37" t="s">
        <v>87</v>
      </c>
      <c r="D37">
        <v>4</v>
      </c>
      <c r="E37" t="str">
        <f t="shared" si="20"/>
        <v>help</v>
      </c>
      <c r="F37" t="str">
        <f t="shared" si="21"/>
        <v>KEY_04</v>
      </c>
      <c r="G37" t="str">
        <f t="shared" si="22"/>
        <v>InitialiseHi3-KEY_04-help.png</v>
      </c>
      <c r="H37" t="str">
        <f t="shared" si="23"/>
        <v>InputEventMap.KEY_ASTERISK</v>
      </c>
      <c r="I37" t="str">
        <f t="shared" si="24"/>
        <v>StreamdeckInput.KEY_04: InputEventMap.KEY_ASTERISK,</v>
      </c>
    </row>
    <row r="38" spans="1:9" x14ac:dyDescent="0.45">
      <c r="A38" t="s">
        <v>12</v>
      </c>
      <c r="B38" t="s">
        <v>34</v>
      </c>
      <c r="C38" t="s">
        <v>91</v>
      </c>
      <c r="D38">
        <v>5</v>
      </c>
      <c r="E38" t="str">
        <f t="shared" si="20"/>
        <v>detect_device</v>
      </c>
      <c r="F38" t="str">
        <f t="shared" si="21"/>
        <v>KEY_05</v>
      </c>
      <c r="G38" t="str">
        <f t="shared" si="22"/>
        <v>InitialiseHi3-KEY_05-detect_device.png</v>
      </c>
      <c r="H38" t="str">
        <f t="shared" si="23"/>
        <v>InputEventMap.KEY_1</v>
      </c>
      <c r="I38" t="str">
        <f t="shared" si="24"/>
        <v>StreamdeckInput.KEY_05: InputEventMap.KEY_1,</v>
      </c>
    </row>
    <row r="39" spans="1:9" x14ac:dyDescent="0.45">
      <c r="A39" t="s">
        <v>12</v>
      </c>
      <c r="B39" t="s">
        <v>35</v>
      </c>
      <c r="C39" t="s">
        <v>90</v>
      </c>
      <c r="D39">
        <v>6</v>
      </c>
      <c r="E39" t="str">
        <f t="shared" si="20"/>
        <v>skip_device</v>
      </c>
      <c r="F39" t="str">
        <f t="shared" si="21"/>
        <v>KEY_06</v>
      </c>
      <c r="G39" t="str">
        <f t="shared" si="22"/>
        <v>InitialiseHi3-KEY_06-skip_device.png</v>
      </c>
      <c r="H39" t="str">
        <f t="shared" si="23"/>
        <v>InputEventMap.KEY_2</v>
      </c>
      <c r="I39" t="str">
        <f t="shared" si="24"/>
        <v>StreamdeckInput.KEY_06: InputEventMap.KEY_2,</v>
      </c>
    </row>
    <row r="40" spans="1:9" x14ac:dyDescent="0.45">
      <c r="A40" t="s">
        <v>9</v>
      </c>
      <c r="B40" t="s">
        <v>86</v>
      </c>
      <c r="C40" t="s">
        <v>107</v>
      </c>
      <c r="D40">
        <v>0</v>
      </c>
      <c r="E40" t="str">
        <f t="shared" ref="E40" si="55">LOWER(
  TRIM(
    SUBSTITUTE(
      LEFT(B40, FIND(" = InputEventMap", B40) - 1),
      CHAR(160),
      " "
    )
  )
)</f>
        <v>screen</v>
      </c>
      <c r="F40" t="str">
        <f t="shared" ref="F40" si="56">"KEY_" &amp; CHOOSE(
    D40+1,
    "00","01","02","03","04","05","06","07","08","09","0A","0B","0C","0D","0E"
)</f>
        <v>KEY_00</v>
      </c>
      <c r="G40" t="str">
        <f t="shared" ref="G40" si="57">_xlfn.CONCAT(A40, "-", F40, "-", E40, ".png")</f>
        <v>InitialiseLcl-KEY_00-screen.png</v>
      </c>
      <c r="H40" t="str">
        <f t="shared" ref="H40" si="58">MID(B40, FIND("InputEventMap", B40), LEN(B40))</f>
        <v>InputEventMap.KEY_ASTERISK</v>
      </c>
      <c r="I40" t="str">
        <f t="shared" ref="I40" si="59">_xlfn.CONCAT("StreamdeckInput.", F40, ": ", H40, ",")</f>
        <v>StreamdeckInput.KEY_00: InputEventMap.KEY_ASTERISK,</v>
      </c>
    </row>
    <row r="41" spans="1:9" x14ac:dyDescent="0.45">
      <c r="A41" t="s">
        <v>9</v>
      </c>
      <c r="B41" t="s">
        <v>33</v>
      </c>
      <c r="C41" t="s">
        <v>87</v>
      </c>
      <c r="D41">
        <v>4</v>
      </c>
      <c r="E41" t="str">
        <f t="shared" si="20"/>
        <v>help</v>
      </c>
      <c r="F41" t="str">
        <f t="shared" si="21"/>
        <v>KEY_04</v>
      </c>
      <c r="G41" t="str">
        <f t="shared" si="22"/>
        <v>InitialiseLcl-KEY_04-help.png</v>
      </c>
      <c r="H41" t="str">
        <f t="shared" si="23"/>
        <v>InputEventMap.KEY_ASTERISK</v>
      </c>
      <c r="I41" t="str">
        <f t="shared" si="24"/>
        <v>StreamdeckInput.KEY_04: InputEventMap.KEY_ASTERISK,</v>
      </c>
    </row>
    <row r="42" spans="1:9" x14ac:dyDescent="0.45">
      <c r="A42" t="s">
        <v>9</v>
      </c>
      <c r="B42" t="s">
        <v>34</v>
      </c>
      <c r="C42" t="s">
        <v>91</v>
      </c>
      <c r="D42">
        <v>5</v>
      </c>
      <c r="E42" t="str">
        <f t="shared" si="20"/>
        <v>detect_device</v>
      </c>
      <c r="F42" t="str">
        <f t="shared" si="21"/>
        <v>KEY_05</v>
      </c>
      <c r="G42" t="str">
        <f t="shared" si="22"/>
        <v>InitialiseLcl-KEY_05-detect_device.png</v>
      </c>
      <c r="H42" t="str">
        <f t="shared" si="23"/>
        <v>InputEventMap.KEY_1</v>
      </c>
      <c r="I42" t="str">
        <f t="shared" si="24"/>
        <v>StreamdeckInput.KEY_05: InputEventMap.KEY_1,</v>
      </c>
    </row>
    <row r="43" spans="1:9" x14ac:dyDescent="0.45">
      <c r="A43" t="s">
        <v>9</v>
      </c>
      <c r="B43" t="s">
        <v>35</v>
      </c>
      <c r="C43" t="s">
        <v>90</v>
      </c>
      <c r="D43">
        <v>6</v>
      </c>
      <c r="E43" t="str">
        <f t="shared" si="20"/>
        <v>skip_device</v>
      </c>
      <c r="F43" t="str">
        <f t="shared" si="21"/>
        <v>KEY_06</v>
      </c>
      <c r="G43" t="str">
        <f t="shared" si="22"/>
        <v>InitialiseLcl-KEY_06-skip_device.png</v>
      </c>
      <c r="H43" t="str">
        <f t="shared" si="23"/>
        <v>InputEventMap.KEY_2</v>
      </c>
      <c r="I43" t="str">
        <f t="shared" si="24"/>
        <v>StreamdeckInput.KEY_06: InputEventMap.KEY_2,</v>
      </c>
    </row>
    <row r="44" spans="1:9" x14ac:dyDescent="0.45">
      <c r="A44" t="s">
        <v>16</v>
      </c>
      <c r="B44" t="s">
        <v>86</v>
      </c>
      <c r="C44" t="s">
        <v>108</v>
      </c>
      <c r="D44">
        <v>0</v>
      </c>
      <c r="E44" t="str">
        <f t="shared" si="20"/>
        <v>screen</v>
      </c>
      <c r="F44" t="str">
        <f t="shared" ref="F44" si="60">"KEY_" &amp; CHOOSE(
    D44+1,
    "00","01","02","03","04","05","06","07","08","09","0A","0B","0C","0D","0E"
)</f>
        <v>KEY_00</v>
      </c>
      <c r="G44" t="str">
        <f t="shared" si="22"/>
        <v>InitialiseRc1-KEY_00-screen.png</v>
      </c>
      <c r="H44" t="str">
        <f t="shared" si="23"/>
        <v>InputEventMap.KEY_ASTERISK</v>
      </c>
      <c r="I44" t="str">
        <f t="shared" si="24"/>
        <v>StreamdeckInput.KEY_00: InputEventMap.KEY_ASTERISK,</v>
      </c>
    </row>
    <row r="45" spans="1:9" x14ac:dyDescent="0.45">
      <c r="A45" t="s">
        <v>16</v>
      </c>
      <c r="B45" t="s">
        <v>33</v>
      </c>
      <c r="C45" t="s">
        <v>87</v>
      </c>
      <c r="D45">
        <v>4</v>
      </c>
      <c r="E45" t="str">
        <f t="shared" ref="E45:E53" si="61">LOWER(
  TRIM(
    SUBSTITUTE(
      LEFT(B45, FIND(" = InputEventMap", B45) - 1),
      CHAR(160),
      " "
    )
  )
)</f>
        <v>help</v>
      </c>
      <c r="F45" t="str">
        <f t="shared" si="21"/>
        <v>KEY_04</v>
      </c>
      <c r="G45" t="str">
        <f t="shared" ref="G45:G53" si="62">_xlfn.CONCAT(A45, "-", F45, "-", E45, ".png")</f>
        <v>InitialiseRc1-KEY_04-help.png</v>
      </c>
      <c r="H45" t="str">
        <f t="shared" ref="H45:H53" si="63">MID(B45, FIND("InputEventMap", B45), LEN(B45))</f>
        <v>InputEventMap.KEY_ASTERISK</v>
      </c>
      <c r="I45" t="str">
        <f t="shared" ref="I45:I53" si="64">_xlfn.CONCAT("StreamdeckInput.", F45, ": ", H45, ",")</f>
        <v>StreamdeckInput.KEY_04: InputEventMap.KEY_ASTERISK,</v>
      </c>
    </row>
    <row r="46" spans="1:9" x14ac:dyDescent="0.45">
      <c r="A46" t="s">
        <v>16</v>
      </c>
      <c r="B46" t="s">
        <v>34</v>
      </c>
      <c r="C46" t="s">
        <v>91</v>
      </c>
      <c r="D46">
        <v>5</v>
      </c>
      <c r="E46" t="str">
        <f t="shared" si="61"/>
        <v>detect_device</v>
      </c>
      <c r="F46" t="str">
        <f t="shared" si="21"/>
        <v>KEY_05</v>
      </c>
      <c r="G46" t="str">
        <f t="shared" si="62"/>
        <v>InitialiseRc1-KEY_05-detect_device.png</v>
      </c>
      <c r="H46" t="str">
        <f t="shared" si="63"/>
        <v>InputEventMap.KEY_1</v>
      </c>
      <c r="I46" t="str">
        <f t="shared" si="64"/>
        <v>StreamdeckInput.KEY_05: InputEventMap.KEY_1,</v>
      </c>
    </row>
    <row r="47" spans="1:9" x14ac:dyDescent="0.45">
      <c r="A47" t="s">
        <v>16</v>
      </c>
      <c r="B47" t="s">
        <v>35</v>
      </c>
      <c r="C47" t="s">
        <v>90</v>
      </c>
      <c r="D47">
        <v>6</v>
      </c>
      <c r="E47" t="str">
        <f t="shared" si="61"/>
        <v>skip_device</v>
      </c>
      <c r="F47" t="str">
        <f t="shared" si="21"/>
        <v>KEY_06</v>
      </c>
      <c r="G47" t="str">
        <f t="shared" si="62"/>
        <v>InitialiseRc1-KEY_06-skip_device.png</v>
      </c>
      <c r="H47" t="str">
        <f t="shared" si="63"/>
        <v>InputEventMap.KEY_2</v>
      </c>
      <c r="I47" t="str">
        <f t="shared" si="64"/>
        <v>StreamdeckInput.KEY_06: InputEventMap.KEY_2,</v>
      </c>
    </row>
    <row r="48" spans="1:9" x14ac:dyDescent="0.45">
      <c r="A48" t="s">
        <v>16</v>
      </c>
      <c r="B48" t="s">
        <v>36</v>
      </c>
      <c r="C48" t="s">
        <v>92</v>
      </c>
      <c r="D48">
        <v>10</v>
      </c>
      <c r="E48" t="str">
        <f t="shared" si="61"/>
        <v>format_device</v>
      </c>
      <c r="F48" t="str">
        <f t="shared" si="21"/>
        <v>KEY_0A</v>
      </c>
      <c r="G48" t="str">
        <f t="shared" si="62"/>
        <v>InitialiseRc1-KEY_0A-format_device.png</v>
      </c>
      <c r="H48" t="str">
        <f t="shared" si="63"/>
        <v>InputEventMap.KEY_6</v>
      </c>
      <c r="I48" t="str">
        <f t="shared" si="64"/>
        <v>StreamdeckInput.KEY_0A: InputEventMap.KEY_6,</v>
      </c>
    </row>
    <row r="49" spans="1:9" x14ac:dyDescent="0.45">
      <c r="A49" t="s">
        <v>16</v>
      </c>
      <c r="B49" t="s">
        <v>37</v>
      </c>
      <c r="C49" t="s">
        <v>93</v>
      </c>
      <c r="D49">
        <v>11</v>
      </c>
      <c r="E49" t="str">
        <f t="shared" si="61"/>
        <v>mount_device</v>
      </c>
      <c r="F49" t="str">
        <f t="shared" si="21"/>
        <v>KEY_0B</v>
      </c>
      <c r="G49" t="str">
        <f t="shared" si="62"/>
        <v>InitialiseRc1-KEY_0B-mount_device.png</v>
      </c>
      <c r="H49" t="str">
        <f t="shared" si="63"/>
        <v>InputEventMap.KEY_7</v>
      </c>
      <c r="I49" t="str">
        <f t="shared" si="64"/>
        <v>StreamdeckInput.KEY_0B: InputEventMap.KEY_7,</v>
      </c>
    </row>
    <row r="50" spans="1:9" x14ac:dyDescent="0.45">
      <c r="A50" t="s">
        <v>16</v>
      </c>
      <c r="B50" t="s">
        <v>38</v>
      </c>
      <c r="C50" t="s">
        <v>94</v>
      </c>
      <c r="D50">
        <v>12</v>
      </c>
      <c r="E50" t="str">
        <f t="shared" si="61"/>
        <v>unmount_device</v>
      </c>
      <c r="F50" t="str">
        <f t="shared" si="21"/>
        <v>KEY_0C</v>
      </c>
      <c r="G50" t="str">
        <f t="shared" si="62"/>
        <v>InitialiseRc1-KEY_0C-unmount_device.png</v>
      </c>
      <c r="H50" t="str">
        <f t="shared" si="63"/>
        <v>InputEventMap.KEY_8</v>
      </c>
      <c r="I50" t="str">
        <f t="shared" si="64"/>
        <v>StreamdeckInput.KEY_0C: InputEventMap.KEY_8,</v>
      </c>
    </row>
    <row r="51" spans="1:9" x14ac:dyDescent="0.45">
      <c r="A51" t="s">
        <v>16</v>
      </c>
      <c r="B51" t="s">
        <v>39</v>
      </c>
      <c r="C51" t="s">
        <v>95</v>
      </c>
      <c r="D51">
        <v>13</v>
      </c>
      <c r="E51" t="str">
        <f t="shared" si="61"/>
        <v>clean_device</v>
      </c>
      <c r="F51" t="str">
        <f t="shared" si="21"/>
        <v>KEY_0D</v>
      </c>
      <c r="G51" t="str">
        <f t="shared" si="62"/>
        <v>InitialiseRc1-KEY_0D-clean_device.png</v>
      </c>
      <c r="H51" t="str">
        <f t="shared" si="63"/>
        <v>InputEventMap.KEY_9</v>
      </c>
      <c r="I51" t="str">
        <f t="shared" si="64"/>
        <v>StreamdeckInput.KEY_0D: InputEventMap.KEY_9,</v>
      </c>
    </row>
    <row r="52" spans="1:9" x14ac:dyDescent="0.45">
      <c r="A52" t="s">
        <v>17</v>
      </c>
      <c r="B52" t="s">
        <v>86</v>
      </c>
      <c r="C52" t="s">
        <v>109</v>
      </c>
      <c r="D52">
        <v>0</v>
      </c>
      <c r="E52" t="str">
        <f t="shared" ref="E52" si="65">LOWER(
  TRIM(
    SUBSTITUTE(
      LEFT(B52, FIND(" = InputEventMap", B52) - 1),
      CHAR(160),
      " "
    )
  )
)</f>
        <v>screen</v>
      </c>
      <c r="F52" t="str">
        <f t="shared" ref="F52" si="66">"KEY_" &amp; CHOOSE(
    D52+1,
    "00","01","02","03","04","05","06","07","08","09","0A","0B","0C","0D","0E"
)</f>
        <v>KEY_00</v>
      </c>
      <c r="G52" t="str">
        <f t="shared" ref="G52" si="67">_xlfn.CONCAT(A52, "-", F52, "-", E52, ".png")</f>
        <v>InitialiseRc2-KEY_00-screen.png</v>
      </c>
      <c r="H52" t="str">
        <f t="shared" ref="H52" si="68">MID(B52, FIND("InputEventMap", B52), LEN(B52))</f>
        <v>InputEventMap.KEY_ASTERISK</v>
      </c>
      <c r="I52" t="str">
        <f t="shared" ref="I52" si="69">_xlfn.CONCAT("StreamdeckInput.", F52, ": ", H52, ",")</f>
        <v>StreamdeckInput.KEY_00: InputEventMap.KEY_ASTERISK,</v>
      </c>
    </row>
    <row r="53" spans="1:9" x14ac:dyDescent="0.45">
      <c r="A53" t="s">
        <v>17</v>
      </c>
      <c r="B53" t="s">
        <v>33</v>
      </c>
      <c r="C53" t="s">
        <v>87</v>
      </c>
      <c r="D53">
        <v>4</v>
      </c>
      <c r="E53" t="str">
        <f t="shared" si="61"/>
        <v>help</v>
      </c>
      <c r="F53" t="str">
        <f t="shared" si="21"/>
        <v>KEY_04</v>
      </c>
      <c r="G53" t="str">
        <f t="shared" si="62"/>
        <v>InitialiseRc2-KEY_04-help.png</v>
      </c>
      <c r="H53" t="str">
        <f t="shared" si="63"/>
        <v>InputEventMap.KEY_ASTERISK</v>
      </c>
      <c r="I53" t="str">
        <f t="shared" si="64"/>
        <v>StreamdeckInput.KEY_04: InputEventMap.KEY_ASTERISK,</v>
      </c>
    </row>
    <row r="54" spans="1:9" x14ac:dyDescent="0.45">
      <c r="A54" t="s">
        <v>17</v>
      </c>
      <c r="B54" t="s">
        <v>34</v>
      </c>
      <c r="C54" t="s">
        <v>91</v>
      </c>
      <c r="D54">
        <v>5</v>
      </c>
      <c r="E54" t="str">
        <f t="shared" ref="E54:E61" si="70">LOWER(
  TRIM(
    SUBSTITUTE(
      LEFT(B54, FIND(" = InputEventMap", B54) - 1),
      CHAR(160),
      " "
    )
  )
)</f>
        <v>detect_device</v>
      </c>
      <c r="F54" t="str">
        <f t="shared" si="21"/>
        <v>KEY_05</v>
      </c>
      <c r="G54" t="str">
        <f t="shared" ref="G54:G61" si="71">_xlfn.CONCAT(A54, "-", F54, "-", E54, ".png")</f>
        <v>InitialiseRc2-KEY_05-detect_device.png</v>
      </c>
      <c r="H54" t="str">
        <f t="shared" ref="H54:H61" si="72">MID(B54, FIND("InputEventMap", B54), LEN(B54))</f>
        <v>InputEventMap.KEY_1</v>
      </c>
      <c r="I54" t="str">
        <f t="shared" ref="I54:I61" si="73">_xlfn.CONCAT("StreamdeckInput.", F54, ": ", H54, ",")</f>
        <v>StreamdeckInput.KEY_05: InputEventMap.KEY_1,</v>
      </c>
    </row>
    <row r="55" spans="1:9" x14ac:dyDescent="0.45">
      <c r="A55" t="s">
        <v>17</v>
      </c>
      <c r="B55" t="s">
        <v>35</v>
      </c>
      <c r="C55" t="s">
        <v>90</v>
      </c>
      <c r="D55">
        <v>6</v>
      </c>
      <c r="E55" t="str">
        <f t="shared" si="70"/>
        <v>skip_device</v>
      </c>
      <c r="F55" t="str">
        <f t="shared" si="21"/>
        <v>KEY_06</v>
      </c>
      <c r="G55" t="str">
        <f t="shared" si="71"/>
        <v>InitialiseRc2-KEY_06-skip_device.png</v>
      </c>
      <c r="H55" t="str">
        <f t="shared" si="72"/>
        <v>InputEventMap.KEY_2</v>
      </c>
      <c r="I55" t="str">
        <f t="shared" si="73"/>
        <v>StreamdeckInput.KEY_06: InputEventMap.KEY_2,</v>
      </c>
    </row>
    <row r="56" spans="1:9" x14ac:dyDescent="0.45">
      <c r="A56" t="s">
        <v>17</v>
      </c>
      <c r="B56" t="s">
        <v>36</v>
      </c>
      <c r="C56" t="s">
        <v>92</v>
      </c>
      <c r="D56">
        <v>10</v>
      </c>
      <c r="E56" t="str">
        <f t="shared" si="70"/>
        <v>format_device</v>
      </c>
      <c r="F56" t="str">
        <f t="shared" si="21"/>
        <v>KEY_0A</v>
      </c>
      <c r="G56" t="str">
        <f t="shared" si="71"/>
        <v>InitialiseRc2-KEY_0A-format_device.png</v>
      </c>
      <c r="H56" t="str">
        <f t="shared" si="72"/>
        <v>InputEventMap.KEY_6</v>
      </c>
      <c r="I56" t="str">
        <f t="shared" si="73"/>
        <v>StreamdeckInput.KEY_0A: InputEventMap.KEY_6,</v>
      </c>
    </row>
    <row r="57" spans="1:9" x14ac:dyDescent="0.45">
      <c r="A57" t="s">
        <v>17</v>
      </c>
      <c r="B57" t="s">
        <v>37</v>
      </c>
      <c r="C57" t="s">
        <v>93</v>
      </c>
      <c r="D57">
        <v>11</v>
      </c>
      <c r="E57" t="str">
        <f t="shared" si="70"/>
        <v>mount_device</v>
      </c>
      <c r="F57" t="str">
        <f t="shared" si="21"/>
        <v>KEY_0B</v>
      </c>
      <c r="G57" t="str">
        <f t="shared" si="71"/>
        <v>InitialiseRc2-KEY_0B-mount_device.png</v>
      </c>
      <c r="H57" t="str">
        <f t="shared" si="72"/>
        <v>InputEventMap.KEY_7</v>
      </c>
      <c r="I57" t="str">
        <f t="shared" si="73"/>
        <v>StreamdeckInput.KEY_0B: InputEventMap.KEY_7,</v>
      </c>
    </row>
    <row r="58" spans="1:9" x14ac:dyDescent="0.45">
      <c r="A58" t="s">
        <v>17</v>
      </c>
      <c r="B58" t="s">
        <v>38</v>
      </c>
      <c r="C58" t="s">
        <v>94</v>
      </c>
      <c r="D58">
        <v>12</v>
      </c>
      <c r="E58" t="str">
        <f t="shared" si="70"/>
        <v>unmount_device</v>
      </c>
      <c r="F58" t="str">
        <f t="shared" si="21"/>
        <v>KEY_0C</v>
      </c>
      <c r="G58" t="str">
        <f t="shared" si="71"/>
        <v>InitialiseRc2-KEY_0C-unmount_device.png</v>
      </c>
      <c r="H58" t="str">
        <f t="shared" si="72"/>
        <v>InputEventMap.KEY_8</v>
      </c>
      <c r="I58" t="str">
        <f t="shared" si="73"/>
        <v>StreamdeckInput.KEY_0C: InputEventMap.KEY_8,</v>
      </c>
    </row>
    <row r="59" spans="1:9" x14ac:dyDescent="0.45">
      <c r="A59" t="s">
        <v>17</v>
      </c>
      <c r="B59" t="s">
        <v>39</v>
      </c>
      <c r="C59" t="s">
        <v>95</v>
      </c>
      <c r="D59">
        <v>13</v>
      </c>
      <c r="E59" t="str">
        <f t="shared" si="70"/>
        <v>clean_device</v>
      </c>
      <c r="F59" t="str">
        <f t="shared" si="21"/>
        <v>KEY_0D</v>
      </c>
      <c r="G59" t="str">
        <f t="shared" si="71"/>
        <v>InitialiseRc2-KEY_0D-clean_device.png</v>
      </c>
      <c r="H59" t="str">
        <f t="shared" si="72"/>
        <v>InputEventMap.KEY_9</v>
      </c>
      <c r="I59" t="str">
        <f t="shared" si="73"/>
        <v>StreamdeckInput.KEY_0D: InputEventMap.KEY_9,</v>
      </c>
    </row>
    <row r="60" spans="1:9" x14ac:dyDescent="0.45">
      <c r="A60" t="s">
        <v>7</v>
      </c>
      <c r="B60" t="s">
        <v>86</v>
      </c>
      <c r="C60" t="s">
        <v>97</v>
      </c>
      <c r="D60">
        <v>0</v>
      </c>
      <c r="E60" t="str">
        <f t="shared" ref="E60" si="74">LOWER(
  TRIM(
    SUBSTITUTE(
      LEFT(B60, FIND(" = InputEventMap", B60) - 1),
      CHAR(160),
      " "
    )
  )
)</f>
        <v>screen</v>
      </c>
      <c r="F60" t="str">
        <f t="shared" ref="F60" si="75">"KEY_" &amp; CHOOSE(
    D60+1,
    "00","01","02","03","04","05","06","07","08","09","0A","0B","0C","0D","0E"
)</f>
        <v>KEY_00</v>
      </c>
      <c r="G60" t="str">
        <f t="shared" ref="G60" si="76">_xlfn.CONCAT(A60, "-", F60, "-", E60, ".png")</f>
        <v>Main-KEY_00-screen.png</v>
      </c>
      <c r="H60" t="str">
        <f t="shared" ref="H60" si="77">MID(B60, FIND("InputEventMap", B60), LEN(B60))</f>
        <v>InputEventMap.KEY_ASTERISK</v>
      </c>
      <c r="I60" t="str">
        <f t="shared" ref="I60" si="78">_xlfn.CONCAT("StreamdeckInput.", F60, ": ", H60, ",")</f>
        <v>StreamdeckInput.KEY_00: InputEventMap.KEY_ASTERISK,</v>
      </c>
    </row>
    <row r="61" spans="1:9" x14ac:dyDescent="0.45">
      <c r="A61" t="s">
        <v>7</v>
      </c>
      <c r="B61" t="s">
        <v>33</v>
      </c>
      <c r="C61" t="s">
        <v>87</v>
      </c>
      <c r="D61">
        <v>4</v>
      </c>
      <c r="E61" t="str">
        <f t="shared" si="70"/>
        <v>help</v>
      </c>
      <c r="F61" t="str">
        <f t="shared" si="21"/>
        <v>KEY_04</v>
      </c>
      <c r="G61" t="str">
        <f t="shared" si="71"/>
        <v>Main-KEY_04-help.png</v>
      </c>
      <c r="H61" t="str">
        <f t="shared" si="72"/>
        <v>InputEventMap.KEY_ASTERISK</v>
      </c>
      <c r="I61" t="str">
        <f t="shared" si="73"/>
        <v>StreamdeckInput.KEY_04: InputEventMap.KEY_ASTERISK,</v>
      </c>
    </row>
    <row r="62" spans="1:9" x14ac:dyDescent="0.45">
      <c r="A62" t="s">
        <v>7</v>
      </c>
      <c r="B62" t="s">
        <v>40</v>
      </c>
      <c r="C62" t="s">
        <v>110</v>
      </c>
      <c r="D62">
        <v>5</v>
      </c>
      <c r="E62" t="str">
        <f t="shared" ref="E62:E71" si="79">LOWER(
  TRIM(
    SUBSTITUTE(
      LEFT(B62, FIND(" = InputEventMap", B62) - 1),
      CHAR(160),
      " "
    )
  )
)</f>
        <v>start_recording_mx0</v>
      </c>
      <c r="F62" t="str">
        <f t="shared" si="21"/>
        <v>KEY_05</v>
      </c>
      <c r="G62" t="str">
        <f t="shared" ref="G62:G68" si="80">_xlfn.CONCAT(A62, "-", F62, "-", E62, ".png")</f>
        <v>Main-KEY_05-start_recording_mx0.png</v>
      </c>
      <c r="H62" t="str">
        <f t="shared" ref="H62:H68" si="81">MID(B62, FIND("InputEventMap", B62), LEN(B62))</f>
        <v>InputEventMap.KEY_1</v>
      </c>
      <c r="I62" t="str">
        <f t="shared" ref="I62:I68" si="82">_xlfn.CONCAT("StreamdeckInput.", F62, ": ", H62, ",")</f>
        <v>StreamdeckInput.KEY_05: InputEventMap.KEY_1,</v>
      </c>
    </row>
    <row r="63" spans="1:9" x14ac:dyDescent="0.45">
      <c r="A63" t="s">
        <v>7</v>
      </c>
      <c r="B63" t="s">
        <v>41</v>
      </c>
      <c r="C63" t="s">
        <v>110</v>
      </c>
      <c r="D63">
        <v>6</v>
      </c>
      <c r="E63" t="str">
        <f t="shared" si="79"/>
        <v>start_recording_mx1</v>
      </c>
      <c r="F63" t="str">
        <f t="shared" si="21"/>
        <v>KEY_06</v>
      </c>
      <c r="G63" t="str">
        <f t="shared" si="80"/>
        <v>Main-KEY_06-start_recording_mx1.png</v>
      </c>
      <c r="H63" t="str">
        <f t="shared" si="81"/>
        <v>InputEventMap.KEY_2</v>
      </c>
      <c r="I63" t="str">
        <f t="shared" si="82"/>
        <v>StreamdeckInput.KEY_06: InputEventMap.KEY_2,</v>
      </c>
    </row>
    <row r="64" spans="1:9" x14ac:dyDescent="0.45">
      <c r="A64" t="s">
        <v>7</v>
      </c>
      <c r="B64" t="s">
        <v>42</v>
      </c>
      <c r="C64" t="s">
        <v>110</v>
      </c>
      <c r="D64">
        <v>7</v>
      </c>
      <c r="E64" t="str">
        <f t="shared" si="79"/>
        <v>start_recording_mx2</v>
      </c>
      <c r="F64" t="str">
        <f t="shared" si="21"/>
        <v>KEY_07</v>
      </c>
      <c r="G64" t="str">
        <f t="shared" si="80"/>
        <v>Main-KEY_07-start_recording_mx2.png</v>
      </c>
      <c r="H64" t="str">
        <f t="shared" si="81"/>
        <v>InputEventMap.KEY_3</v>
      </c>
      <c r="I64" t="str">
        <f t="shared" si="82"/>
        <v>StreamdeckInput.KEY_07: InputEventMap.KEY_3,</v>
      </c>
    </row>
    <row r="65" spans="1:9" x14ac:dyDescent="0.45">
      <c r="A65" t="s">
        <v>7</v>
      </c>
      <c r="B65" t="s">
        <v>43</v>
      </c>
      <c r="C65" t="s">
        <v>111</v>
      </c>
      <c r="D65">
        <v>10</v>
      </c>
      <c r="E65" t="str">
        <f t="shared" si="79"/>
        <v>start_playback</v>
      </c>
      <c r="F65" t="str">
        <f t="shared" si="21"/>
        <v>KEY_0A</v>
      </c>
      <c r="G65" t="str">
        <f t="shared" si="80"/>
        <v>Main-KEY_0A-start_playback.png</v>
      </c>
      <c r="H65" t="str">
        <f t="shared" si="81"/>
        <v>InputEventMap.KEY_4</v>
      </c>
      <c r="I65" t="str">
        <f t="shared" si="82"/>
        <v>StreamdeckInput.KEY_0A: InputEventMap.KEY_4,</v>
      </c>
    </row>
    <row r="66" spans="1:9" x14ac:dyDescent="0.45">
      <c r="A66" t="s">
        <v>7</v>
      </c>
      <c r="B66" t="s">
        <v>5</v>
      </c>
      <c r="C66" t="s">
        <v>88</v>
      </c>
      <c r="D66">
        <v>9</v>
      </c>
      <c r="E66" t="str">
        <f t="shared" si="79"/>
        <v>menu</v>
      </c>
      <c r="F66" t="str">
        <f t="shared" si="21"/>
        <v>KEY_09</v>
      </c>
      <c r="G66" t="str">
        <f t="shared" si="80"/>
        <v>Main-KEY_09-menu.png</v>
      </c>
      <c r="H66" t="str">
        <f t="shared" si="81"/>
        <v>InputEventMap.KEY_5</v>
      </c>
      <c r="I66" t="str">
        <f t="shared" si="82"/>
        <v>StreamdeckInput.KEY_09: InputEventMap.KEY_5,</v>
      </c>
    </row>
    <row r="67" spans="1:9" x14ac:dyDescent="0.45">
      <c r="A67" t="s">
        <v>7</v>
      </c>
      <c r="B67" t="s">
        <v>44</v>
      </c>
      <c r="C67" t="s">
        <v>112</v>
      </c>
      <c r="D67">
        <v>11</v>
      </c>
      <c r="E67" t="str">
        <f t="shared" si="79"/>
        <v>set_name</v>
      </c>
      <c r="F67" t="str">
        <f t="shared" si="21"/>
        <v>KEY_0B</v>
      </c>
      <c r="G67" t="str">
        <f t="shared" si="80"/>
        <v>Main-KEY_0B-set_name.png</v>
      </c>
      <c r="H67" t="str">
        <f t="shared" si="81"/>
        <v>InputEventMap.KEY_6</v>
      </c>
      <c r="I67" t="str">
        <f t="shared" si="82"/>
        <v>StreamdeckInput.KEY_0B: InputEventMap.KEY_6,</v>
      </c>
    </row>
    <row r="68" spans="1:9" x14ac:dyDescent="0.45">
      <c r="A68" t="s">
        <v>7</v>
      </c>
      <c r="B68" t="s">
        <v>152</v>
      </c>
      <c r="C68" t="s">
        <v>95</v>
      </c>
      <c r="D68">
        <v>12</v>
      </c>
      <c r="E68" t="str">
        <f t="shared" ref="E68" si="83">LOWER(
  TRIM(
    SUBSTITUTE(
      LEFT(B68, FIND(" = InputEventMap", B68) - 1),
      CHAR(160),
      " "
    )
  )
)</f>
        <v>delete_last_take</v>
      </c>
      <c r="F68" t="str">
        <f t="shared" ref="F68" si="84">"KEY_" &amp; CHOOSE(
    D68+1,
    "00","01","02","03","04","05","06","07","08","09","0A","0B","0C","0D","0E"
)</f>
        <v>KEY_0C</v>
      </c>
      <c r="G68" t="str">
        <f t="shared" si="80"/>
        <v>Main-KEY_0C-delete_last_take.png</v>
      </c>
      <c r="H68" t="str">
        <f t="shared" si="81"/>
        <v>InputEventMap.KEY_7</v>
      </c>
      <c r="I68" t="str">
        <f t="shared" si="82"/>
        <v>StreamdeckInput.KEY_0C: InputEventMap.KEY_7,</v>
      </c>
    </row>
    <row r="69" spans="1:9" x14ac:dyDescent="0.45">
      <c r="A69" t="s">
        <v>7</v>
      </c>
      <c r="B69" t="s">
        <v>45</v>
      </c>
      <c r="C69" t="s">
        <v>102</v>
      </c>
      <c r="D69">
        <v>14</v>
      </c>
      <c r="E69" t="str">
        <f t="shared" si="79"/>
        <v>stop_system</v>
      </c>
      <c r="F69" t="str">
        <f t="shared" si="21"/>
        <v>KEY_0E</v>
      </c>
      <c r="G69" t="str">
        <f t="shared" ref="G69:G71" si="85">_xlfn.CONCAT(A69, "-", F69, "-", E69, ".png")</f>
        <v>Main-KEY_0E-stop_system.png</v>
      </c>
      <c r="H69" t="str">
        <f t="shared" ref="H69:H71" si="86">MID(B69, FIND("InputEventMap", B69), LEN(B69))</f>
        <v>InputEventMap.KEY_9</v>
      </c>
      <c r="I69" t="str">
        <f t="shared" ref="I69:I71" si="87">_xlfn.CONCAT("StreamdeckInput.", F69, ": ", H69, ",")</f>
        <v>StreamdeckInput.KEY_0E: InputEventMap.KEY_9,</v>
      </c>
    </row>
    <row r="70" spans="1:9" x14ac:dyDescent="0.45">
      <c r="A70" t="s">
        <v>18</v>
      </c>
      <c r="B70" t="s">
        <v>98</v>
      </c>
      <c r="C70" t="s">
        <v>113</v>
      </c>
      <c r="D70">
        <v>0</v>
      </c>
      <c r="E70" t="str">
        <f t="shared" ref="E70" si="88">LOWER(
  TRIM(
    SUBSTITUTE(
      LEFT(B70, FIND(" = InputEventMap", B70) - 1),
      CHAR(160),
      " "
    )
  )
)</f>
        <v>screen</v>
      </c>
      <c r="F70" t="str">
        <f t="shared" ref="F70" si="89">"KEY_" &amp; CHOOSE(
    D70+1,
    "00","01","02","03","04","05","06","07","08","09","0A","0B","0C","0D","0E"
)</f>
        <v>KEY_00</v>
      </c>
      <c r="G70" t="str">
        <f t="shared" ref="G70" si="90">_xlfn.CONCAT(A70, "-", F70, "-", E70, ".png")</f>
        <v>OnRecord-KEY_00-screen.png</v>
      </c>
      <c r="H70" t="str">
        <f t="shared" ref="H70" si="91">MID(B70, FIND("InputEventMap", B70), LEN(B70))</f>
        <v>InputEventMap.KEY_ASTERISK</v>
      </c>
      <c r="I70" t="str">
        <f t="shared" ref="I70" si="92">_xlfn.CONCAT("StreamdeckInput.", F70, ": ", H70, ",")</f>
        <v>StreamdeckInput.KEY_00: InputEventMap.KEY_ASTERISK,</v>
      </c>
    </row>
    <row r="71" spans="1:9" x14ac:dyDescent="0.45">
      <c r="A71" t="s">
        <v>18</v>
      </c>
      <c r="B71" t="s">
        <v>4</v>
      </c>
      <c r="C71" t="s">
        <v>87</v>
      </c>
      <c r="D71">
        <v>4</v>
      </c>
      <c r="E71" t="str">
        <f t="shared" si="79"/>
        <v>help</v>
      </c>
      <c r="F71" t="str">
        <f t="shared" si="21"/>
        <v>KEY_04</v>
      </c>
      <c r="G71" t="str">
        <f t="shared" si="85"/>
        <v>OnRecord-KEY_04-help.png</v>
      </c>
      <c r="H71" t="str">
        <f t="shared" si="86"/>
        <v>InputEventMap.KEY_ASTERISK</v>
      </c>
      <c r="I71" t="str">
        <f t="shared" si="87"/>
        <v>StreamdeckInput.KEY_04: InputEventMap.KEY_ASTERISK,</v>
      </c>
    </row>
    <row r="72" spans="1:9" x14ac:dyDescent="0.45">
      <c r="A72" t="s">
        <v>18</v>
      </c>
      <c r="B72" t="s">
        <v>46</v>
      </c>
      <c r="C72" t="s">
        <v>114</v>
      </c>
      <c r="D72">
        <v>6</v>
      </c>
      <c r="E72" t="str">
        <f t="shared" ref="E72:E75" si="93">LOWER(
  TRIM(
    SUBSTITUTE(
      LEFT(B72, FIND(" = InputEventMap", B72) - 1),
      CHAR(160),
      " "
    )
  )
)</f>
        <v>stop_recording</v>
      </c>
      <c r="F72" t="str">
        <f t="shared" ref="F72:F75" si="94">"KEY_" &amp; CHOOSE(
    D72+1,
    "00","01","02","03","04","05","06","07","08","09","0A","0B","0C","0D","0E"
)</f>
        <v>KEY_06</v>
      </c>
      <c r="G72" t="str">
        <f t="shared" ref="G72:G75" si="95">_xlfn.CONCAT(A72, "-", F72, "-", E72, ".png")</f>
        <v>OnRecord-KEY_06-stop_recording.png</v>
      </c>
      <c r="H72" t="str">
        <f t="shared" ref="H72:H75" si="96">MID(B72, FIND("InputEventMap", B72), LEN(B72))</f>
        <v>InputEventMap.KEY_1</v>
      </c>
      <c r="I72" t="str">
        <f t="shared" ref="I72:I75" si="97">_xlfn.CONCAT("StreamdeckInput.", F72, ": ", H72, ",")</f>
        <v>StreamdeckInput.KEY_06: InputEventMap.KEY_1,</v>
      </c>
    </row>
    <row r="73" spans="1:9" x14ac:dyDescent="0.45">
      <c r="A73" t="s">
        <v>18</v>
      </c>
      <c r="B73" t="s">
        <v>47</v>
      </c>
      <c r="C73" t="s">
        <v>115</v>
      </c>
      <c r="D73">
        <v>5</v>
      </c>
      <c r="E73" t="str">
        <f t="shared" si="93"/>
        <v>set_cue</v>
      </c>
      <c r="F73" t="str">
        <f t="shared" si="94"/>
        <v>KEY_05</v>
      </c>
      <c r="G73" t="str">
        <f t="shared" si="95"/>
        <v>OnRecord-KEY_05-set_cue.png</v>
      </c>
      <c r="H73" t="str">
        <f t="shared" si="96"/>
        <v>InputEventMap.KEY_2</v>
      </c>
      <c r="I73" t="str">
        <f t="shared" si="97"/>
        <v>StreamdeckInput.KEY_05: InputEventMap.KEY_2,</v>
      </c>
    </row>
    <row r="74" spans="1:9" x14ac:dyDescent="0.45">
      <c r="A74" t="s">
        <v>18</v>
      </c>
      <c r="B74" t="s">
        <v>48</v>
      </c>
      <c r="C74" t="s">
        <v>116</v>
      </c>
      <c r="D74">
        <v>10</v>
      </c>
      <c r="E74" t="str">
        <f t="shared" si="93"/>
        <v>show_status</v>
      </c>
      <c r="F74" t="str">
        <f t="shared" si="94"/>
        <v>KEY_0A</v>
      </c>
      <c r="G74" t="str">
        <f t="shared" si="95"/>
        <v>OnRecord-KEY_0A-show_status.png</v>
      </c>
      <c r="H74" t="str">
        <f t="shared" si="96"/>
        <v>InputEventMap.KEY_4</v>
      </c>
      <c r="I74" t="str">
        <f t="shared" si="97"/>
        <v>StreamdeckInput.KEY_0A: InputEventMap.KEY_4,</v>
      </c>
    </row>
    <row r="75" spans="1:9" x14ac:dyDescent="0.45">
      <c r="A75" t="s">
        <v>29</v>
      </c>
      <c r="B75" t="s">
        <v>98</v>
      </c>
      <c r="C75" t="s">
        <v>117</v>
      </c>
      <c r="D75">
        <v>0</v>
      </c>
      <c r="E75" t="str">
        <f t="shared" si="93"/>
        <v>screen</v>
      </c>
      <c r="F75" t="str">
        <f t="shared" si="94"/>
        <v>KEY_00</v>
      </c>
      <c r="G75" t="str">
        <f t="shared" si="95"/>
        <v>PlaybackPaused-KEY_00-screen.png</v>
      </c>
      <c r="H75" t="str">
        <f t="shared" si="96"/>
        <v>InputEventMap.KEY_ASTERISK</v>
      </c>
      <c r="I75" t="str">
        <f t="shared" si="97"/>
        <v>StreamdeckInput.KEY_00: InputEventMap.KEY_ASTERISK,</v>
      </c>
    </row>
    <row r="76" spans="1:9" x14ac:dyDescent="0.45">
      <c r="A76" t="s">
        <v>29</v>
      </c>
      <c r="B76" t="s">
        <v>4</v>
      </c>
      <c r="C76" t="s">
        <v>87</v>
      </c>
      <c r="D76">
        <v>4</v>
      </c>
      <c r="E76" t="str">
        <f t="shared" ref="E76:E140" si="98">LOWER(
  TRIM(
    SUBSTITUTE(
      LEFT(B76, FIND(" = InputEventMap", B76) - 1),
      CHAR(160),
      " "
    )
  )
)</f>
        <v>help</v>
      </c>
      <c r="F76" t="str">
        <f t="shared" ref="F76:F140" si="99">"KEY_" &amp; CHOOSE(
    D76+1,
    "00","01","02","03","04","05","06","07","08","09","0A","0B","0C","0D","0E"
)</f>
        <v>KEY_04</v>
      </c>
      <c r="G76" t="str">
        <f t="shared" ref="G76:G140" si="100">_xlfn.CONCAT(A76, "-", F76, "-", E76, ".png")</f>
        <v>PlaybackPaused-KEY_04-help.png</v>
      </c>
      <c r="H76" t="str">
        <f t="shared" ref="H76:H140" si="101">MID(B76, FIND("InputEventMap", B76), LEN(B76))</f>
        <v>InputEventMap.KEY_ASTERISK</v>
      </c>
      <c r="I76" t="str">
        <f t="shared" ref="I76:I140" si="102">_xlfn.CONCAT("StreamdeckInput.", F76, ": ", H76, ",")</f>
        <v>StreamdeckInput.KEY_04: InputEventMap.KEY_ASTERISK,</v>
      </c>
    </row>
    <row r="77" spans="1:9" x14ac:dyDescent="0.45">
      <c r="A77" t="s">
        <v>29</v>
      </c>
      <c r="B77" t="s">
        <v>49</v>
      </c>
      <c r="C77" t="s">
        <v>111</v>
      </c>
      <c r="D77">
        <v>7</v>
      </c>
      <c r="E77" t="str">
        <f t="shared" si="98"/>
        <v>pause_resume</v>
      </c>
      <c r="F77" t="str">
        <f t="shared" si="99"/>
        <v>KEY_07</v>
      </c>
      <c r="G77" t="str">
        <f t="shared" si="100"/>
        <v>PlaybackPaused-KEY_07-pause_resume.png</v>
      </c>
      <c r="H77" t="str">
        <f t="shared" si="101"/>
        <v>InputEventMap.KEY_0</v>
      </c>
      <c r="I77" t="str">
        <f t="shared" si="102"/>
        <v>StreamdeckInput.KEY_07: InputEventMap.KEY_0,</v>
      </c>
    </row>
    <row r="78" spans="1:9" x14ac:dyDescent="0.45">
      <c r="A78" t="s">
        <v>29</v>
      </c>
      <c r="B78" t="s">
        <v>5</v>
      </c>
      <c r="C78" t="s">
        <v>96</v>
      </c>
      <c r="D78">
        <v>9</v>
      </c>
      <c r="E78" t="str">
        <f t="shared" si="98"/>
        <v>menu</v>
      </c>
      <c r="F78" t="str">
        <f t="shared" si="99"/>
        <v>KEY_09</v>
      </c>
      <c r="G78" t="str">
        <f t="shared" si="100"/>
        <v>PlaybackPaused-KEY_09-menu.png</v>
      </c>
      <c r="H78" t="str">
        <f t="shared" si="101"/>
        <v>InputEventMap.KEY_5</v>
      </c>
      <c r="I78" t="str">
        <f t="shared" si="102"/>
        <v>StreamdeckInput.KEY_09: InputEventMap.KEY_5,</v>
      </c>
    </row>
    <row r="79" spans="1:9" x14ac:dyDescent="0.45">
      <c r="A79" t="s">
        <v>28</v>
      </c>
      <c r="B79" t="s">
        <v>98</v>
      </c>
      <c r="C79" t="s">
        <v>117</v>
      </c>
      <c r="D79">
        <v>0</v>
      </c>
      <c r="E79" t="str">
        <f t="shared" ref="E79" si="103">LOWER(
  TRIM(
    SUBSTITUTE(
      LEFT(B79, FIND(" = InputEventMap", B79) - 1),
      CHAR(160),
      " "
    )
  )
)</f>
        <v>screen</v>
      </c>
      <c r="F79" t="str">
        <f t="shared" ref="F79" si="104">"KEY_" &amp; CHOOSE(
    D79+1,
    "00","01","02","03","04","05","06","07","08","09","0A","0B","0C","0D","0E"
)</f>
        <v>KEY_00</v>
      </c>
      <c r="G79" t="str">
        <f t="shared" ref="G79" si="105">_xlfn.CONCAT(A79, "-", F79, "-", E79, ".png")</f>
        <v>Playback-KEY_00-screen.png</v>
      </c>
      <c r="H79" t="str">
        <f t="shared" ref="H79" si="106">MID(B79, FIND("InputEventMap", B79), LEN(B79))</f>
        <v>InputEventMap.KEY_ASTERISK</v>
      </c>
      <c r="I79" t="str">
        <f t="shared" ref="I79" si="107">_xlfn.CONCAT("StreamdeckInput.", F79, ": ", H79, ",")</f>
        <v>StreamdeckInput.KEY_00: InputEventMap.KEY_ASTERISK,</v>
      </c>
    </row>
    <row r="80" spans="1:9" x14ac:dyDescent="0.45">
      <c r="A80" t="s">
        <v>28</v>
      </c>
      <c r="B80" t="s">
        <v>4</v>
      </c>
      <c r="C80" t="s">
        <v>87</v>
      </c>
      <c r="D80">
        <v>4</v>
      </c>
      <c r="E80" t="str">
        <f t="shared" si="98"/>
        <v>help</v>
      </c>
      <c r="F80" t="str">
        <f t="shared" si="99"/>
        <v>KEY_04</v>
      </c>
      <c r="G80" t="str">
        <f t="shared" si="100"/>
        <v>Playback-KEY_04-help.png</v>
      </c>
      <c r="H80" t="str">
        <f t="shared" si="101"/>
        <v>InputEventMap.KEY_ASTERISK</v>
      </c>
      <c r="I80" t="str">
        <f t="shared" si="102"/>
        <v>StreamdeckInput.KEY_04: InputEventMap.KEY_ASTERISK,</v>
      </c>
    </row>
    <row r="81" spans="1:9" x14ac:dyDescent="0.45">
      <c r="A81" t="s">
        <v>28</v>
      </c>
      <c r="B81" t="s">
        <v>49</v>
      </c>
      <c r="C81" t="s">
        <v>118</v>
      </c>
      <c r="D81">
        <v>7</v>
      </c>
      <c r="E81" t="str">
        <f t="shared" si="98"/>
        <v>pause_resume</v>
      </c>
      <c r="F81" t="str">
        <f t="shared" si="99"/>
        <v>KEY_07</v>
      </c>
      <c r="G81" t="str">
        <f t="shared" si="100"/>
        <v>Playback-KEY_07-pause_resume.png</v>
      </c>
      <c r="H81" t="str">
        <f t="shared" si="101"/>
        <v>InputEventMap.KEY_0</v>
      </c>
      <c r="I81" t="str">
        <f t="shared" si="102"/>
        <v>StreamdeckInput.KEY_07: InputEventMap.KEY_0,</v>
      </c>
    </row>
    <row r="82" spans="1:9" x14ac:dyDescent="0.45">
      <c r="A82" t="s">
        <v>28</v>
      </c>
      <c r="B82" t="s">
        <v>50</v>
      </c>
      <c r="C82" t="s">
        <v>153</v>
      </c>
      <c r="D82">
        <v>11</v>
      </c>
      <c r="E82" t="str">
        <f t="shared" si="98"/>
        <v>jump_clip_end</v>
      </c>
      <c r="F82" t="str">
        <f t="shared" si="99"/>
        <v>KEY_0B</v>
      </c>
      <c r="G82" t="str">
        <f t="shared" si="100"/>
        <v>Playback-KEY_0B-jump_clip_end.png</v>
      </c>
      <c r="H82" t="str">
        <f t="shared" si="101"/>
        <v>InputEventMap.KEY_1</v>
      </c>
      <c r="I82" t="str">
        <f t="shared" si="102"/>
        <v>StreamdeckInput.KEY_0B: InputEventMap.KEY_1,</v>
      </c>
    </row>
    <row r="83" spans="1:9" x14ac:dyDescent="0.45">
      <c r="A83" t="s">
        <v>28</v>
      </c>
      <c r="B83" t="s">
        <v>51</v>
      </c>
      <c r="C83" t="s">
        <v>120</v>
      </c>
      <c r="D83">
        <v>12</v>
      </c>
      <c r="E83" t="str">
        <f t="shared" si="98"/>
        <v>seek_next</v>
      </c>
      <c r="F83" t="str">
        <f t="shared" si="99"/>
        <v>KEY_0C</v>
      </c>
      <c r="G83" t="str">
        <f t="shared" si="100"/>
        <v>Playback-KEY_0C-seek_next.png</v>
      </c>
      <c r="H83" t="str">
        <f t="shared" si="101"/>
        <v>InputEventMap.KEY_2</v>
      </c>
      <c r="I83" t="str">
        <f t="shared" si="102"/>
        <v>StreamdeckInput.KEY_0C: InputEventMap.KEY_2,</v>
      </c>
    </row>
    <row r="84" spans="1:9" x14ac:dyDescent="0.45">
      <c r="A84" t="s">
        <v>28</v>
      </c>
      <c r="B84" t="s">
        <v>52</v>
      </c>
      <c r="C84" t="s">
        <v>121</v>
      </c>
      <c r="D84">
        <v>13</v>
      </c>
      <c r="E84" t="str">
        <f t="shared" si="98"/>
        <v>jump_cue_next</v>
      </c>
      <c r="F84" t="str">
        <f t="shared" si="99"/>
        <v>KEY_0D</v>
      </c>
      <c r="G84" t="str">
        <f t="shared" si="100"/>
        <v>Playback-KEY_0D-jump_cue_next.png</v>
      </c>
      <c r="H84" t="str">
        <f t="shared" si="101"/>
        <v>InputEventMap.KEY_3</v>
      </c>
      <c r="I84" t="str">
        <f t="shared" si="102"/>
        <v>StreamdeckInput.KEY_0D: InputEventMap.KEY_3,</v>
      </c>
    </row>
    <row r="85" spans="1:9" x14ac:dyDescent="0.45">
      <c r="A85" t="s">
        <v>28</v>
      </c>
      <c r="B85" t="s">
        <v>53</v>
      </c>
      <c r="C85" t="s">
        <v>123</v>
      </c>
      <c r="D85">
        <v>6</v>
      </c>
      <c r="E85" t="str">
        <f t="shared" si="98"/>
        <v>jump_clip_previous</v>
      </c>
      <c r="F85" t="str">
        <f t="shared" si="99"/>
        <v>KEY_06</v>
      </c>
      <c r="G85" t="str">
        <f t="shared" si="100"/>
        <v>Playback-KEY_06-jump_clip_previous.png</v>
      </c>
      <c r="H85" t="str">
        <f t="shared" si="101"/>
        <v>InputEventMap.KEY_4</v>
      </c>
      <c r="I85" t="str">
        <f t="shared" si="102"/>
        <v>StreamdeckInput.KEY_06: InputEventMap.KEY_4,</v>
      </c>
    </row>
    <row r="86" spans="1:9" x14ac:dyDescent="0.45">
      <c r="A86" t="s">
        <v>28</v>
      </c>
      <c r="B86" t="s">
        <v>5</v>
      </c>
      <c r="C86" t="s">
        <v>96</v>
      </c>
      <c r="D86">
        <v>9</v>
      </c>
      <c r="E86" t="str">
        <f t="shared" si="98"/>
        <v>menu</v>
      </c>
      <c r="F86" t="str">
        <f t="shared" si="99"/>
        <v>KEY_09</v>
      </c>
      <c r="G86" t="str">
        <f t="shared" si="100"/>
        <v>Playback-KEY_09-menu.png</v>
      </c>
      <c r="H86" t="str">
        <f t="shared" si="101"/>
        <v>InputEventMap.KEY_5</v>
      </c>
      <c r="I86" t="str">
        <f t="shared" si="102"/>
        <v>StreamdeckInput.KEY_09: InputEventMap.KEY_5,</v>
      </c>
    </row>
    <row r="87" spans="1:9" x14ac:dyDescent="0.45">
      <c r="A87" t="s">
        <v>28</v>
      </c>
      <c r="B87" t="s">
        <v>54</v>
      </c>
      <c r="C87" t="s">
        <v>119</v>
      </c>
      <c r="D87">
        <v>8</v>
      </c>
      <c r="E87" t="str">
        <f t="shared" si="98"/>
        <v>jump_clip_next</v>
      </c>
      <c r="F87" t="str">
        <f t="shared" si="99"/>
        <v>KEY_08</v>
      </c>
      <c r="G87" t="str">
        <f t="shared" si="100"/>
        <v>Playback-KEY_08-jump_clip_next.png</v>
      </c>
      <c r="H87" t="str">
        <f t="shared" si="101"/>
        <v>InputEventMap.KEY_6</v>
      </c>
      <c r="I87" t="str">
        <f t="shared" si="102"/>
        <v>StreamdeckInput.KEY_08: InputEventMap.KEY_6,</v>
      </c>
    </row>
    <row r="88" spans="1:9" x14ac:dyDescent="0.45">
      <c r="A88" t="s">
        <v>28</v>
      </c>
      <c r="B88" t="s">
        <v>55</v>
      </c>
      <c r="C88" t="s">
        <v>154</v>
      </c>
      <c r="D88">
        <v>1</v>
      </c>
      <c r="E88" t="str">
        <f t="shared" si="98"/>
        <v>jump_clip_start</v>
      </c>
      <c r="F88" t="str">
        <f t="shared" si="99"/>
        <v>KEY_01</v>
      </c>
      <c r="G88" t="str">
        <f t="shared" si="100"/>
        <v>Playback-KEY_01-jump_clip_start.png</v>
      </c>
      <c r="H88" t="str">
        <f t="shared" si="101"/>
        <v>InputEventMap.KEY_7</v>
      </c>
      <c r="I88" t="str">
        <f t="shared" si="102"/>
        <v>StreamdeckInput.KEY_01: InputEventMap.KEY_7,</v>
      </c>
    </row>
    <row r="89" spans="1:9" x14ac:dyDescent="0.45">
      <c r="A89" t="s">
        <v>28</v>
      </c>
      <c r="B89" t="s">
        <v>56</v>
      </c>
      <c r="C89" t="s">
        <v>124</v>
      </c>
      <c r="D89">
        <v>2</v>
      </c>
      <c r="E89" t="str">
        <f t="shared" si="98"/>
        <v>seek_previous</v>
      </c>
      <c r="F89" t="str">
        <f t="shared" si="99"/>
        <v>KEY_02</v>
      </c>
      <c r="G89" t="str">
        <f t="shared" si="100"/>
        <v>Playback-KEY_02-seek_previous.png</v>
      </c>
      <c r="H89" t="str">
        <f t="shared" si="101"/>
        <v>InputEventMap.KEY_8</v>
      </c>
      <c r="I89" t="str">
        <f t="shared" si="102"/>
        <v>StreamdeckInput.KEY_02: InputEventMap.KEY_8,</v>
      </c>
    </row>
    <row r="90" spans="1:9" x14ac:dyDescent="0.45">
      <c r="A90" t="s">
        <v>28</v>
      </c>
      <c r="B90" t="s">
        <v>57</v>
      </c>
      <c r="C90" t="s">
        <v>122</v>
      </c>
      <c r="D90">
        <v>3</v>
      </c>
      <c r="E90" t="str">
        <f t="shared" si="98"/>
        <v>jump_cue_previous</v>
      </c>
      <c r="F90" t="str">
        <f t="shared" si="99"/>
        <v>KEY_03</v>
      </c>
      <c r="G90" t="str">
        <f t="shared" si="100"/>
        <v>Playback-KEY_03-jump_cue_previous.png</v>
      </c>
      <c r="H90" t="str">
        <f t="shared" si="101"/>
        <v>InputEventMap.KEY_9</v>
      </c>
      <c r="I90" t="str">
        <f t="shared" si="102"/>
        <v>StreamdeckInput.KEY_03: InputEventMap.KEY_9,</v>
      </c>
    </row>
    <row r="91" spans="1:9" x14ac:dyDescent="0.45">
      <c r="A91" t="s">
        <v>24</v>
      </c>
      <c r="B91" t="s">
        <v>98</v>
      </c>
      <c r="C91" t="s">
        <v>125</v>
      </c>
      <c r="D91">
        <v>0</v>
      </c>
      <c r="E91" t="str">
        <f t="shared" ref="E91" si="108">LOWER(
  TRIM(
    SUBSTITUTE(
      LEFT(B91, FIND(" = InputEventMap", B91) - 1),
      CHAR(160),
      " "
    )
  )
)</f>
        <v>screen</v>
      </c>
      <c r="F91" t="str">
        <f t="shared" ref="F91" si="109">"KEY_" &amp; CHOOSE(
    D91+1,
    "00","01","02","03","04","05","06","07","08","09","0A","0B","0C","0D","0E"
)</f>
        <v>KEY_00</v>
      </c>
      <c r="G91" t="str">
        <f t="shared" ref="G91" si="110">_xlfn.CONCAT(A91, "-", F91, "-", E91, ".png")</f>
        <v>SelectLanguage-KEY_00-screen.png</v>
      </c>
      <c r="H91" t="str">
        <f t="shared" ref="H91" si="111">MID(B91, FIND("InputEventMap", B91), LEN(B91))</f>
        <v>InputEventMap.KEY_ASTERISK</v>
      </c>
      <c r="I91" t="str">
        <f t="shared" ref="I91" si="112">_xlfn.CONCAT("StreamdeckInput.", F91, ": ", H91, ",")</f>
        <v>StreamdeckInput.KEY_00: InputEventMap.KEY_ASTERISK,</v>
      </c>
    </row>
    <row r="92" spans="1:9" x14ac:dyDescent="0.45">
      <c r="A92" t="s">
        <v>24</v>
      </c>
      <c r="B92" t="s">
        <v>4</v>
      </c>
      <c r="C92" t="s">
        <v>87</v>
      </c>
      <c r="D92">
        <v>4</v>
      </c>
      <c r="E92" t="str">
        <f t="shared" si="98"/>
        <v>help</v>
      </c>
      <c r="F92" t="str">
        <f t="shared" si="99"/>
        <v>KEY_04</v>
      </c>
      <c r="G92" t="str">
        <f t="shared" si="100"/>
        <v>SelectLanguage-KEY_04-help.png</v>
      </c>
      <c r="H92" t="str">
        <f t="shared" si="101"/>
        <v>InputEventMap.KEY_ASTERISK</v>
      </c>
      <c r="I92" t="str">
        <f t="shared" si="102"/>
        <v>StreamdeckInput.KEY_04: InputEventMap.KEY_ASTERISK,</v>
      </c>
    </row>
    <row r="93" spans="1:9" x14ac:dyDescent="0.45">
      <c r="A93" t="s">
        <v>24</v>
      </c>
      <c r="B93" t="s">
        <v>58</v>
      </c>
      <c r="C93" t="s">
        <v>126</v>
      </c>
      <c r="D93">
        <v>5</v>
      </c>
      <c r="E93" t="str">
        <f t="shared" si="98"/>
        <v>select_english</v>
      </c>
      <c r="F93" t="str">
        <f t="shared" si="99"/>
        <v>KEY_05</v>
      </c>
      <c r="G93" t="str">
        <f t="shared" si="100"/>
        <v>SelectLanguage-KEY_05-select_english.png</v>
      </c>
      <c r="H93" t="str">
        <f t="shared" si="101"/>
        <v>InputEventMap.KEY_1</v>
      </c>
      <c r="I93" t="str">
        <f t="shared" si="102"/>
        <v>StreamdeckInput.KEY_05: InputEventMap.KEY_1,</v>
      </c>
    </row>
    <row r="94" spans="1:9" x14ac:dyDescent="0.45">
      <c r="A94" t="s">
        <v>24</v>
      </c>
      <c r="B94" t="s">
        <v>59</v>
      </c>
      <c r="C94" t="s">
        <v>127</v>
      </c>
      <c r="D94">
        <v>6</v>
      </c>
      <c r="E94" t="str">
        <f t="shared" si="98"/>
        <v>select_german</v>
      </c>
      <c r="F94" t="str">
        <f t="shared" si="99"/>
        <v>KEY_06</v>
      </c>
      <c r="G94" t="str">
        <f t="shared" si="100"/>
        <v>SelectLanguage-KEY_06-select_german.png</v>
      </c>
      <c r="H94" t="str">
        <f t="shared" si="101"/>
        <v>InputEventMap.KEY_2</v>
      </c>
      <c r="I94" t="str">
        <f t="shared" si="102"/>
        <v>StreamdeckInput.KEY_06: InputEventMap.KEY_2,</v>
      </c>
    </row>
    <row r="95" spans="1:9" x14ac:dyDescent="0.45">
      <c r="A95" t="s">
        <v>24</v>
      </c>
      <c r="B95" t="s">
        <v>60</v>
      </c>
      <c r="C95" t="s">
        <v>128</v>
      </c>
      <c r="D95">
        <v>7</v>
      </c>
      <c r="E95" t="str">
        <f t="shared" si="98"/>
        <v>select_french</v>
      </c>
      <c r="F95" t="str">
        <f t="shared" si="99"/>
        <v>KEY_07</v>
      </c>
      <c r="G95" t="str">
        <f t="shared" si="100"/>
        <v>SelectLanguage-KEY_07-select_french.png</v>
      </c>
      <c r="H95" t="str">
        <f t="shared" si="101"/>
        <v>InputEventMap.KEY_3</v>
      </c>
      <c r="I95" t="str">
        <f t="shared" si="102"/>
        <v>StreamdeckInput.KEY_07: InputEventMap.KEY_3,</v>
      </c>
    </row>
    <row r="96" spans="1:9" x14ac:dyDescent="0.45">
      <c r="A96" t="s">
        <v>24</v>
      </c>
      <c r="B96" t="s">
        <v>61</v>
      </c>
      <c r="C96" t="s">
        <v>129</v>
      </c>
      <c r="D96">
        <v>8</v>
      </c>
      <c r="E96" t="str">
        <f t="shared" si="98"/>
        <v>select_italian</v>
      </c>
      <c r="F96" t="str">
        <f t="shared" si="99"/>
        <v>KEY_08</v>
      </c>
      <c r="G96" t="str">
        <f t="shared" si="100"/>
        <v>SelectLanguage-KEY_08-select_italian.png</v>
      </c>
      <c r="H96" t="str">
        <f t="shared" si="101"/>
        <v>InputEventMap.KEY_4</v>
      </c>
      <c r="I96" t="str">
        <f t="shared" si="102"/>
        <v>StreamdeckInput.KEY_08: InputEventMap.KEY_4,</v>
      </c>
    </row>
    <row r="97" spans="1:9" x14ac:dyDescent="0.45">
      <c r="A97" t="s">
        <v>25</v>
      </c>
      <c r="B97" t="s">
        <v>98</v>
      </c>
      <c r="C97" t="s">
        <v>130</v>
      </c>
      <c r="D97">
        <v>0</v>
      </c>
      <c r="E97" t="str">
        <f t="shared" ref="E97" si="113">LOWER(
  TRIM(
    SUBSTITUTE(
      LEFT(B97, FIND(" = InputEventMap", B97) - 1),
      CHAR(160),
      " "
    )
  )
)</f>
        <v>screen</v>
      </c>
      <c r="F97" t="str">
        <f t="shared" ref="F97" si="114">"KEY_" &amp; CHOOSE(
    D97+1,
    "00","01","02","03","04","05","06","07","08","09","0A","0B","0C","0D","0E"
)</f>
        <v>KEY_00</v>
      </c>
      <c r="G97" t="str">
        <f t="shared" ref="G97" si="115">_xlfn.CONCAT(A97, "-", F97, "-", E97, ".png")</f>
        <v>SetDate-KEY_00-screen.png</v>
      </c>
      <c r="H97" t="str">
        <f t="shared" ref="H97" si="116">MID(B97, FIND("InputEventMap", B97), LEN(B97))</f>
        <v>InputEventMap.KEY_ASTERISK</v>
      </c>
      <c r="I97" t="str">
        <f t="shared" ref="I97" si="117">_xlfn.CONCAT("StreamdeckInput.", F97, ": ", H97, ",")</f>
        <v>StreamdeckInput.KEY_00: InputEventMap.KEY_ASTERISK,</v>
      </c>
    </row>
    <row r="98" spans="1:9" x14ac:dyDescent="0.45">
      <c r="A98" t="s">
        <v>25</v>
      </c>
      <c r="B98" t="s">
        <v>4</v>
      </c>
      <c r="C98" t="s">
        <v>87</v>
      </c>
      <c r="D98">
        <v>4</v>
      </c>
      <c r="E98" t="str">
        <f t="shared" si="98"/>
        <v>help</v>
      </c>
      <c r="F98" t="str">
        <f t="shared" si="99"/>
        <v>KEY_04</v>
      </c>
      <c r="G98" t="str">
        <f t="shared" si="100"/>
        <v>SetDate-KEY_04-help.png</v>
      </c>
      <c r="H98" t="str">
        <f t="shared" si="101"/>
        <v>InputEventMap.KEY_ASTERISK</v>
      </c>
      <c r="I98" t="str">
        <f t="shared" si="102"/>
        <v>StreamdeckInput.KEY_04: InputEventMap.KEY_ASTERISK,</v>
      </c>
    </row>
    <row r="99" spans="1:9" x14ac:dyDescent="0.45">
      <c r="A99" t="s">
        <v>25</v>
      </c>
      <c r="B99" t="s">
        <v>62</v>
      </c>
      <c r="C99" t="s">
        <v>131</v>
      </c>
      <c r="D99">
        <v>10</v>
      </c>
      <c r="E99" t="str">
        <f t="shared" si="98"/>
        <v>digit_0</v>
      </c>
      <c r="F99" t="str">
        <f t="shared" si="99"/>
        <v>KEY_0A</v>
      </c>
      <c r="G99" t="str">
        <f t="shared" si="100"/>
        <v>SetDate-KEY_0A-digit_0.png</v>
      </c>
      <c r="H99" t="str">
        <f t="shared" si="101"/>
        <v>InputEventMap.KEY_0</v>
      </c>
      <c r="I99" t="str">
        <f t="shared" si="102"/>
        <v>StreamdeckInput.KEY_0A: InputEventMap.KEY_0,</v>
      </c>
    </row>
    <row r="100" spans="1:9" x14ac:dyDescent="0.45">
      <c r="A100" t="s">
        <v>25</v>
      </c>
      <c r="B100" t="s">
        <v>63</v>
      </c>
      <c r="C100" t="s">
        <v>132</v>
      </c>
      <c r="D100">
        <v>11</v>
      </c>
      <c r="E100" t="str">
        <f t="shared" si="98"/>
        <v>digit_1</v>
      </c>
      <c r="F100" t="str">
        <f t="shared" si="99"/>
        <v>KEY_0B</v>
      </c>
      <c r="G100" t="str">
        <f t="shared" si="100"/>
        <v>SetDate-KEY_0B-digit_1.png</v>
      </c>
      <c r="H100" t="str">
        <f t="shared" si="101"/>
        <v>InputEventMap.KEY_1</v>
      </c>
      <c r="I100" t="str">
        <f t="shared" si="102"/>
        <v>StreamdeckInput.KEY_0B: InputEventMap.KEY_1,</v>
      </c>
    </row>
    <row r="101" spans="1:9" x14ac:dyDescent="0.45">
      <c r="A101" t="s">
        <v>25</v>
      </c>
      <c r="B101" t="s">
        <v>64</v>
      </c>
      <c r="C101" t="s">
        <v>133</v>
      </c>
      <c r="D101">
        <v>12</v>
      </c>
      <c r="E101" t="str">
        <f t="shared" si="98"/>
        <v>digit_2</v>
      </c>
      <c r="F101" t="str">
        <f t="shared" si="99"/>
        <v>KEY_0C</v>
      </c>
      <c r="G101" t="str">
        <f t="shared" si="100"/>
        <v>SetDate-KEY_0C-digit_2.png</v>
      </c>
      <c r="H101" t="str">
        <f t="shared" si="101"/>
        <v>InputEventMap.KEY_2</v>
      </c>
      <c r="I101" t="str">
        <f t="shared" si="102"/>
        <v>StreamdeckInput.KEY_0C: InputEventMap.KEY_2,</v>
      </c>
    </row>
    <row r="102" spans="1:9" x14ac:dyDescent="0.45">
      <c r="A102" t="s">
        <v>25</v>
      </c>
      <c r="B102" t="s">
        <v>65</v>
      </c>
      <c r="C102" t="s">
        <v>134</v>
      </c>
      <c r="D102">
        <v>13</v>
      </c>
      <c r="E102" t="str">
        <f t="shared" si="98"/>
        <v>digit_3</v>
      </c>
      <c r="F102" t="str">
        <f t="shared" si="99"/>
        <v>KEY_0D</v>
      </c>
      <c r="G102" t="str">
        <f t="shared" si="100"/>
        <v>SetDate-KEY_0D-digit_3.png</v>
      </c>
      <c r="H102" t="str">
        <f t="shared" si="101"/>
        <v>InputEventMap.KEY_3</v>
      </c>
      <c r="I102" t="str">
        <f t="shared" si="102"/>
        <v>StreamdeckInput.KEY_0D: InputEventMap.KEY_3,</v>
      </c>
    </row>
    <row r="103" spans="1:9" x14ac:dyDescent="0.45">
      <c r="A103" t="s">
        <v>25</v>
      </c>
      <c r="B103" t="s">
        <v>66</v>
      </c>
      <c r="C103" t="s">
        <v>135</v>
      </c>
      <c r="D103">
        <v>6</v>
      </c>
      <c r="E103" t="str">
        <f t="shared" si="98"/>
        <v>digit_4</v>
      </c>
      <c r="F103" t="str">
        <f t="shared" si="99"/>
        <v>KEY_06</v>
      </c>
      <c r="G103" t="str">
        <f t="shared" si="100"/>
        <v>SetDate-KEY_06-digit_4.png</v>
      </c>
      <c r="H103" t="str">
        <f t="shared" si="101"/>
        <v>InputEventMap.KEY_4</v>
      </c>
      <c r="I103" t="str">
        <f t="shared" si="102"/>
        <v>StreamdeckInput.KEY_06: InputEventMap.KEY_4,</v>
      </c>
    </row>
    <row r="104" spans="1:9" x14ac:dyDescent="0.45">
      <c r="A104" t="s">
        <v>25</v>
      </c>
      <c r="B104" t="s">
        <v>67</v>
      </c>
      <c r="C104" t="s">
        <v>136</v>
      </c>
      <c r="D104">
        <v>7</v>
      </c>
      <c r="E104" t="str">
        <f t="shared" si="98"/>
        <v>digit_5</v>
      </c>
      <c r="F104" t="str">
        <f t="shared" si="99"/>
        <v>KEY_07</v>
      </c>
      <c r="G104" t="str">
        <f t="shared" si="100"/>
        <v>SetDate-KEY_07-digit_5.png</v>
      </c>
      <c r="H104" t="str">
        <f t="shared" si="101"/>
        <v>InputEventMap.KEY_5</v>
      </c>
      <c r="I104" t="str">
        <f t="shared" si="102"/>
        <v>StreamdeckInput.KEY_07: InputEventMap.KEY_5,</v>
      </c>
    </row>
    <row r="105" spans="1:9" x14ac:dyDescent="0.45">
      <c r="A105" t="s">
        <v>25</v>
      </c>
      <c r="B105" t="s">
        <v>68</v>
      </c>
      <c r="C105" t="s">
        <v>137</v>
      </c>
      <c r="D105">
        <v>8</v>
      </c>
      <c r="E105" t="str">
        <f t="shared" si="98"/>
        <v>digit_6</v>
      </c>
      <c r="F105" t="str">
        <f t="shared" si="99"/>
        <v>KEY_08</v>
      </c>
      <c r="G105" t="str">
        <f t="shared" si="100"/>
        <v>SetDate-KEY_08-digit_6.png</v>
      </c>
      <c r="H105" t="str">
        <f t="shared" si="101"/>
        <v>InputEventMap.KEY_6</v>
      </c>
      <c r="I105" t="str">
        <f t="shared" si="102"/>
        <v>StreamdeckInput.KEY_08: InputEventMap.KEY_6,</v>
      </c>
    </row>
    <row r="106" spans="1:9" x14ac:dyDescent="0.45">
      <c r="A106" t="s">
        <v>25</v>
      </c>
      <c r="B106" t="s">
        <v>69</v>
      </c>
      <c r="C106" t="s">
        <v>138</v>
      </c>
      <c r="D106">
        <v>1</v>
      </c>
      <c r="E106" t="str">
        <f t="shared" si="98"/>
        <v>digit_7</v>
      </c>
      <c r="F106" t="str">
        <f t="shared" si="99"/>
        <v>KEY_01</v>
      </c>
      <c r="G106" t="str">
        <f t="shared" si="100"/>
        <v>SetDate-KEY_01-digit_7.png</v>
      </c>
      <c r="H106" t="str">
        <f t="shared" si="101"/>
        <v>InputEventMap.KEY_7</v>
      </c>
      <c r="I106" t="str">
        <f t="shared" si="102"/>
        <v>StreamdeckInput.KEY_01: InputEventMap.KEY_7,</v>
      </c>
    </row>
    <row r="107" spans="1:9" x14ac:dyDescent="0.45">
      <c r="A107" t="s">
        <v>25</v>
      </c>
      <c r="B107" t="s">
        <v>70</v>
      </c>
      <c r="C107" t="s">
        <v>139</v>
      </c>
      <c r="D107">
        <v>2</v>
      </c>
      <c r="E107" t="str">
        <f t="shared" si="98"/>
        <v>digit_8</v>
      </c>
      <c r="F107" t="str">
        <f t="shared" si="99"/>
        <v>KEY_02</v>
      </c>
      <c r="G107" t="str">
        <f t="shared" si="100"/>
        <v>SetDate-KEY_02-digit_8.png</v>
      </c>
      <c r="H107" t="str">
        <f t="shared" si="101"/>
        <v>InputEventMap.KEY_8</v>
      </c>
      <c r="I107" t="str">
        <f t="shared" si="102"/>
        <v>StreamdeckInput.KEY_02: InputEventMap.KEY_8,</v>
      </c>
    </row>
    <row r="108" spans="1:9" x14ac:dyDescent="0.45">
      <c r="A108" t="s">
        <v>25</v>
      </c>
      <c r="B108" t="s">
        <v>71</v>
      </c>
      <c r="C108" t="s">
        <v>140</v>
      </c>
      <c r="D108">
        <v>3</v>
      </c>
      <c r="E108" t="str">
        <f t="shared" si="98"/>
        <v>digit_9</v>
      </c>
      <c r="F108" t="str">
        <f t="shared" si="99"/>
        <v>KEY_03</v>
      </c>
      <c r="G108" t="str">
        <f t="shared" si="100"/>
        <v>SetDate-KEY_03-digit_9.png</v>
      </c>
      <c r="H108" t="str">
        <f t="shared" si="101"/>
        <v>InputEventMap.KEY_9</v>
      </c>
      <c r="I108" t="str">
        <f t="shared" si="102"/>
        <v>StreamdeckInput.KEY_03: InputEventMap.KEY_9,</v>
      </c>
    </row>
    <row r="109" spans="1:9" x14ac:dyDescent="0.45">
      <c r="A109" t="s">
        <v>25</v>
      </c>
      <c r="B109" t="s">
        <v>72</v>
      </c>
      <c r="C109" t="s">
        <v>141</v>
      </c>
      <c r="D109">
        <v>9</v>
      </c>
      <c r="E109" t="str">
        <f t="shared" si="98"/>
        <v>back_space</v>
      </c>
      <c r="F109" t="str">
        <f t="shared" si="99"/>
        <v>KEY_09</v>
      </c>
      <c r="G109" t="str">
        <f t="shared" si="100"/>
        <v>SetDate-KEY_09-back_space.png</v>
      </c>
      <c r="H109" t="str">
        <f t="shared" si="101"/>
        <v>InputEventMap.KEY_BACKSPACE</v>
      </c>
      <c r="I109" t="str">
        <f t="shared" si="102"/>
        <v>StreamdeckInput.KEY_09: InputEventMap.KEY_BACKSPACE,</v>
      </c>
    </row>
    <row r="110" spans="1:9" x14ac:dyDescent="0.45">
      <c r="A110" t="s">
        <v>25</v>
      </c>
      <c r="B110" t="s">
        <v>73</v>
      </c>
      <c r="C110" t="s">
        <v>142</v>
      </c>
      <c r="D110">
        <v>14</v>
      </c>
      <c r="E110" t="str">
        <f t="shared" si="98"/>
        <v>enter</v>
      </c>
      <c r="F110" t="str">
        <f t="shared" si="99"/>
        <v>KEY_0E</v>
      </c>
      <c r="G110" t="str">
        <f t="shared" si="100"/>
        <v>SetDate-KEY_0E-enter.png</v>
      </c>
      <c r="H110" t="str">
        <f t="shared" si="101"/>
        <v>InputEventMap.KEY_ENTER</v>
      </c>
      <c r="I110" t="str">
        <f t="shared" si="102"/>
        <v>StreamdeckInput.KEY_0E: InputEventMap.KEY_ENTER,</v>
      </c>
    </row>
    <row r="111" spans="1:9" x14ac:dyDescent="0.45">
      <c r="A111" t="s">
        <v>27</v>
      </c>
      <c r="B111" t="s">
        <v>98</v>
      </c>
      <c r="C111" t="s">
        <v>143</v>
      </c>
      <c r="D111">
        <v>0</v>
      </c>
      <c r="E111" t="str">
        <f t="shared" ref="E111" si="118">LOWER(
  TRIM(
    SUBSTITUTE(
      LEFT(B111, FIND(" = InputEventMap", B111) - 1),
      CHAR(160),
      " "
    )
  )
)</f>
        <v>screen</v>
      </c>
      <c r="F111" t="str">
        <f t="shared" ref="F111" si="119">"KEY_" &amp; CHOOSE(
    D111+1,
    "00","01","02","03","04","05","06","07","08","09","0A","0B","0C","0D","0E"
)</f>
        <v>KEY_00</v>
      </c>
      <c r="G111" t="str">
        <f t="shared" ref="G111" si="120">_xlfn.CONCAT(A111, "-", F111, "-", E111, ".png")</f>
        <v>SetName-KEY_00-screen.png</v>
      </c>
      <c r="H111" t="str">
        <f t="shared" ref="H111" si="121">MID(B111, FIND("InputEventMap", B111), LEN(B111))</f>
        <v>InputEventMap.KEY_ASTERISK</v>
      </c>
      <c r="I111" t="str">
        <f t="shared" ref="I111" si="122">_xlfn.CONCAT("StreamdeckInput.", F111, ": ", H111, ",")</f>
        <v>StreamdeckInput.KEY_00: InputEventMap.KEY_ASTERISK,</v>
      </c>
    </row>
    <row r="112" spans="1:9" x14ac:dyDescent="0.45">
      <c r="A112" t="s">
        <v>27</v>
      </c>
      <c r="B112" t="s">
        <v>4</v>
      </c>
      <c r="C112" t="s">
        <v>87</v>
      </c>
      <c r="D112">
        <v>4</v>
      </c>
      <c r="E112" t="str">
        <f t="shared" si="98"/>
        <v>help</v>
      </c>
      <c r="F112" t="str">
        <f t="shared" si="99"/>
        <v>KEY_04</v>
      </c>
      <c r="G112" t="str">
        <f t="shared" si="100"/>
        <v>SetName-KEY_04-help.png</v>
      </c>
      <c r="H112" t="str">
        <f t="shared" si="101"/>
        <v>InputEventMap.KEY_ASTERISK</v>
      </c>
      <c r="I112" t="str">
        <f t="shared" si="102"/>
        <v>StreamdeckInput.KEY_04: InputEventMap.KEY_ASTERISK,</v>
      </c>
    </row>
    <row r="113" spans="1:9" x14ac:dyDescent="0.45">
      <c r="A113" t="s">
        <v>27</v>
      </c>
      <c r="B113" t="s">
        <v>62</v>
      </c>
      <c r="C113" t="s">
        <v>131</v>
      </c>
      <c r="D113">
        <v>10</v>
      </c>
      <c r="E113" t="str">
        <f t="shared" si="98"/>
        <v>digit_0</v>
      </c>
      <c r="F113" t="str">
        <f t="shared" si="99"/>
        <v>KEY_0A</v>
      </c>
      <c r="G113" t="str">
        <f t="shared" si="100"/>
        <v>SetName-KEY_0A-digit_0.png</v>
      </c>
      <c r="H113" t="str">
        <f t="shared" si="101"/>
        <v>InputEventMap.KEY_0</v>
      </c>
      <c r="I113" t="str">
        <f t="shared" si="102"/>
        <v>StreamdeckInput.KEY_0A: InputEventMap.KEY_0,</v>
      </c>
    </row>
    <row r="114" spans="1:9" x14ac:dyDescent="0.45">
      <c r="A114" t="s">
        <v>27</v>
      </c>
      <c r="B114" t="s">
        <v>63</v>
      </c>
      <c r="C114" t="s">
        <v>132</v>
      </c>
      <c r="D114">
        <v>11</v>
      </c>
      <c r="E114" t="str">
        <f t="shared" si="98"/>
        <v>digit_1</v>
      </c>
      <c r="F114" t="str">
        <f t="shared" si="99"/>
        <v>KEY_0B</v>
      </c>
      <c r="G114" t="str">
        <f t="shared" si="100"/>
        <v>SetName-KEY_0B-digit_1.png</v>
      </c>
      <c r="H114" t="str">
        <f t="shared" si="101"/>
        <v>InputEventMap.KEY_1</v>
      </c>
      <c r="I114" t="str">
        <f t="shared" si="102"/>
        <v>StreamdeckInput.KEY_0B: InputEventMap.KEY_1,</v>
      </c>
    </row>
    <row r="115" spans="1:9" x14ac:dyDescent="0.45">
      <c r="A115" t="s">
        <v>27</v>
      </c>
      <c r="B115" t="s">
        <v>64</v>
      </c>
      <c r="C115" t="s">
        <v>133</v>
      </c>
      <c r="D115">
        <v>12</v>
      </c>
      <c r="E115" t="str">
        <f t="shared" si="98"/>
        <v>digit_2</v>
      </c>
      <c r="F115" t="str">
        <f t="shared" si="99"/>
        <v>KEY_0C</v>
      </c>
      <c r="G115" t="str">
        <f t="shared" si="100"/>
        <v>SetName-KEY_0C-digit_2.png</v>
      </c>
      <c r="H115" t="str">
        <f t="shared" si="101"/>
        <v>InputEventMap.KEY_2</v>
      </c>
      <c r="I115" t="str">
        <f t="shared" si="102"/>
        <v>StreamdeckInput.KEY_0C: InputEventMap.KEY_2,</v>
      </c>
    </row>
    <row r="116" spans="1:9" x14ac:dyDescent="0.45">
      <c r="A116" t="s">
        <v>27</v>
      </c>
      <c r="B116" t="s">
        <v>65</v>
      </c>
      <c r="C116" t="s">
        <v>134</v>
      </c>
      <c r="D116">
        <v>13</v>
      </c>
      <c r="E116" t="str">
        <f t="shared" si="98"/>
        <v>digit_3</v>
      </c>
      <c r="F116" t="str">
        <f t="shared" si="99"/>
        <v>KEY_0D</v>
      </c>
      <c r="G116" t="str">
        <f t="shared" si="100"/>
        <v>SetName-KEY_0D-digit_3.png</v>
      </c>
      <c r="H116" t="str">
        <f t="shared" si="101"/>
        <v>InputEventMap.KEY_3</v>
      </c>
      <c r="I116" t="str">
        <f t="shared" si="102"/>
        <v>StreamdeckInput.KEY_0D: InputEventMap.KEY_3,</v>
      </c>
    </row>
    <row r="117" spans="1:9" x14ac:dyDescent="0.45">
      <c r="A117" t="s">
        <v>27</v>
      </c>
      <c r="B117" t="s">
        <v>66</v>
      </c>
      <c r="C117" t="s">
        <v>135</v>
      </c>
      <c r="D117">
        <v>6</v>
      </c>
      <c r="E117" t="str">
        <f t="shared" si="98"/>
        <v>digit_4</v>
      </c>
      <c r="F117" t="str">
        <f t="shared" si="99"/>
        <v>KEY_06</v>
      </c>
      <c r="G117" t="str">
        <f t="shared" si="100"/>
        <v>SetName-KEY_06-digit_4.png</v>
      </c>
      <c r="H117" t="str">
        <f t="shared" si="101"/>
        <v>InputEventMap.KEY_4</v>
      </c>
      <c r="I117" t="str">
        <f t="shared" si="102"/>
        <v>StreamdeckInput.KEY_06: InputEventMap.KEY_4,</v>
      </c>
    </row>
    <row r="118" spans="1:9" x14ac:dyDescent="0.45">
      <c r="A118" t="s">
        <v>27</v>
      </c>
      <c r="B118" t="s">
        <v>67</v>
      </c>
      <c r="C118" t="s">
        <v>136</v>
      </c>
      <c r="D118">
        <v>7</v>
      </c>
      <c r="E118" t="str">
        <f t="shared" si="98"/>
        <v>digit_5</v>
      </c>
      <c r="F118" t="str">
        <f t="shared" si="99"/>
        <v>KEY_07</v>
      </c>
      <c r="G118" t="str">
        <f t="shared" si="100"/>
        <v>SetName-KEY_07-digit_5.png</v>
      </c>
      <c r="H118" t="str">
        <f t="shared" si="101"/>
        <v>InputEventMap.KEY_5</v>
      </c>
      <c r="I118" t="str">
        <f t="shared" si="102"/>
        <v>StreamdeckInput.KEY_07: InputEventMap.KEY_5,</v>
      </c>
    </row>
    <row r="119" spans="1:9" x14ac:dyDescent="0.45">
      <c r="A119" t="s">
        <v>27</v>
      </c>
      <c r="B119" t="s">
        <v>68</v>
      </c>
      <c r="C119" t="s">
        <v>137</v>
      </c>
      <c r="D119">
        <v>8</v>
      </c>
      <c r="E119" t="str">
        <f t="shared" si="98"/>
        <v>digit_6</v>
      </c>
      <c r="F119" t="str">
        <f t="shared" si="99"/>
        <v>KEY_08</v>
      </c>
      <c r="G119" t="str">
        <f t="shared" si="100"/>
        <v>SetName-KEY_08-digit_6.png</v>
      </c>
      <c r="H119" t="str">
        <f t="shared" si="101"/>
        <v>InputEventMap.KEY_6</v>
      </c>
      <c r="I119" t="str">
        <f t="shared" si="102"/>
        <v>StreamdeckInput.KEY_08: InputEventMap.KEY_6,</v>
      </c>
    </row>
    <row r="120" spans="1:9" x14ac:dyDescent="0.45">
      <c r="A120" t="s">
        <v>27</v>
      </c>
      <c r="B120" t="s">
        <v>69</v>
      </c>
      <c r="C120" t="s">
        <v>138</v>
      </c>
      <c r="D120">
        <v>1</v>
      </c>
      <c r="E120" t="str">
        <f t="shared" si="98"/>
        <v>digit_7</v>
      </c>
      <c r="F120" t="str">
        <f t="shared" si="99"/>
        <v>KEY_01</v>
      </c>
      <c r="G120" t="str">
        <f t="shared" si="100"/>
        <v>SetName-KEY_01-digit_7.png</v>
      </c>
      <c r="H120" t="str">
        <f t="shared" si="101"/>
        <v>InputEventMap.KEY_7</v>
      </c>
      <c r="I120" t="str">
        <f t="shared" si="102"/>
        <v>StreamdeckInput.KEY_01: InputEventMap.KEY_7,</v>
      </c>
    </row>
    <row r="121" spans="1:9" x14ac:dyDescent="0.45">
      <c r="A121" t="s">
        <v>27</v>
      </c>
      <c r="B121" t="s">
        <v>70</v>
      </c>
      <c r="C121" t="s">
        <v>139</v>
      </c>
      <c r="D121">
        <v>2</v>
      </c>
      <c r="E121" t="str">
        <f t="shared" si="98"/>
        <v>digit_8</v>
      </c>
      <c r="F121" t="str">
        <f t="shared" si="99"/>
        <v>KEY_02</v>
      </c>
      <c r="G121" t="str">
        <f t="shared" si="100"/>
        <v>SetName-KEY_02-digit_8.png</v>
      </c>
      <c r="H121" t="str">
        <f t="shared" si="101"/>
        <v>InputEventMap.KEY_8</v>
      </c>
      <c r="I121" t="str">
        <f t="shared" si="102"/>
        <v>StreamdeckInput.KEY_02: InputEventMap.KEY_8,</v>
      </c>
    </row>
    <row r="122" spans="1:9" x14ac:dyDescent="0.45">
      <c r="A122" t="s">
        <v>27</v>
      </c>
      <c r="B122" t="s">
        <v>71</v>
      </c>
      <c r="C122" t="s">
        <v>140</v>
      </c>
      <c r="D122">
        <v>3</v>
      </c>
      <c r="E122" t="str">
        <f t="shared" si="98"/>
        <v>digit_9</v>
      </c>
      <c r="F122" t="str">
        <f t="shared" si="99"/>
        <v>KEY_03</v>
      </c>
      <c r="G122" t="str">
        <f t="shared" si="100"/>
        <v>SetName-KEY_03-digit_9.png</v>
      </c>
      <c r="H122" t="str">
        <f t="shared" si="101"/>
        <v>InputEventMap.KEY_9</v>
      </c>
      <c r="I122" t="str">
        <f t="shared" si="102"/>
        <v>StreamdeckInput.KEY_03: InputEventMap.KEY_9,</v>
      </c>
    </row>
    <row r="123" spans="1:9" x14ac:dyDescent="0.45">
      <c r="A123" t="s">
        <v>27</v>
      </c>
      <c r="B123" t="s">
        <v>72</v>
      </c>
      <c r="C123" t="s">
        <v>141</v>
      </c>
      <c r="D123">
        <v>9</v>
      </c>
      <c r="E123" t="str">
        <f t="shared" si="98"/>
        <v>back_space</v>
      </c>
      <c r="F123" t="str">
        <f t="shared" si="99"/>
        <v>KEY_09</v>
      </c>
      <c r="G123" t="str">
        <f t="shared" si="100"/>
        <v>SetName-KEY_09-back_space.png</v>
      </c>
      <c r="H123" t="str">
        <f t="shared" si="101"/>
        <v>InputEventMap.KEY_BACKSPACE</v>
      </c>
      <c r="I123" t="str">
        <f t="shared" si="102"/>
        <v>StreamdeckInput.KEY_09: InputEventMap.KEY_BACKSPACE,</v>
      </c>
    </row>
    <row r="124" spans="1:9" x14ac:dyDescent="0.45">
      <c r="A124" t="s">
        <v>27</v>
      </c>
      <c r="B124" t="s">
        <v>73</v>
      </c>
      <c r="C124" t="s">
        <v>142</v>
      </c>
      <c r="D124">
        <v>14</v>
      </c>
      <c r="E124" t="str">
        <f t="shared" si="98"/>
        <v>enter</v>
      </c>
      <c r="F124" t="str">
        <f t="shared" si="99"/>
        <v>KEY_0E</v>
      </c>
      <c r="G124" t="str">
        <f t="shared" si="100"/>
        <v>SetName-KEY_0E-enter.png</v>
      </c>
      <c r="H124" t="str">
        <f t="shared" si="101"/>
        <v>InputEventMap.KEY_ENTER</v>
      </c>
      <c r="I124" t="str">
        <f t="shared" si="102"/>
        <v>StreamdeckInput.KEY_0E: InputEventMap.KEY_ENTER,</v>
      </c>
    </row>
    <row r="125" spans="1:9" x14ac:dyDescent="0.45">
      <c r="A125" t="s">
        <v>26</v>
      </c>
      <c r="B125" t="s">
        <v>98</v>
      </c>
      <c r="C125" t="s">
        <v>144</v>
      </c>
      <c r="D125">
        <v>0</v>
      </c>
      <c r="E125" t="str">
        <f t="shared" ref="E125" si="123">LOWER(
  TRIM(
    SUBSTITUTE(
      LEFT(B125, FIND(" = InputEventMap", B125) - 1),
      CHAR(160),
      " "
    )
  )
)</f>
        <v>screen</v>
      </c>
      <c r="F125" t="str">
        <f t="shared" ref="F125" si="124">"KEY_" &amp; CHOOSE(
    D125+1,
    "00","01","02","03","04","05","06","07","08","09","0A","0B","0C","0D","0E"
)</f>
        <v>KEY_00</v>
      </c>
      <c r="G125" t="str">
        <f t="shared" ref="G125" si="125">_xlfn.CONCAT(A125, "-", F125, "-", E125, ".png")</f>
        <v>SetTime-KEY_00-screen.png</v>
      </c>
      <c r="H125" t="str">
        <f t="shared" ref="H125" si="126">MID(B125, FIND("InputEventMap", B125), LEN(B125))</f>
        <v>InputEventMap.KEY_ASTERISK</v>
      </c>
      <c r="I125" t="str">
        <f t="shared" ref="I125" si="127">_xlfn.CONCAT("StreamdeckInput.", F125, ": ", H125, ",")</f>
        <v>StreamdeckInput.KEY_00: InputEventMap.KEY_ASTERISK,</v>
      </c>
    </row>
    <row r="126" spans="1:9" x14ac:dyDescent="0.45">
      <c r="A126" t="s">
        <v>26</v>
      </c>
      <c r="B126" t="s">
        <v>4</v>
      </c>
      <c r="C126" t="s">
        <v>87</v>
      </c>
      <c r="D126">
        <v>4</v>
      </c>
      <c r="E126" t="str">
        <f t="shared" si="98"/>
        <v>help</v>
      </c>
      <c r="F126" t="str">
        <f t="shared" si="99"/>
        <v>KEY_04</v>
      </c>
      <c r="G126" t="str">
        <f t="shared" si="100"/>
        <v>SetTime-KEY_04-help.png</v>
      </c>
      <c r="H126" t="str">
        <f t="shared" si="101"/>
        <v>InputEventMap.KEY_ASTERISK</v>
      </c>
      <c r="I126" t="str">
        <f t="shared" si="102"/>
        <v>StreamdeckInput.KEY_04: InputEventMap.KEY_ASTERISK,</v>
      </c>
    </row>
    <row r="127" spans="1:9" x14ac:dyDescent="0.45">
      <c r="A127" t="s">
        <v>26</v>
      </c>
      <c r="B127" t="s">
        <v>62</v>
      </c>
      <c r="C127" t="s">
        <v>131</v>
      </c>
      <c r="D127">
        <v>10</v>
      </c>
      <c r="E127" t="str">
        <f t="shared" si="98"/>
        <v>digit_0</v>
      </c>
      <c r="F127" t="str">
        <f t="shared" si="99"/>
        <v>KEY_0A</v>
      </c>
      <c r="G127" t="str">
        <f t="shared" si="100"/>
        <v>SetTime-KEY_0A-digit_0.png</v>
      </c>
      <c r="H127" t="str">
        <f t="shared" si="101"/>
        <v>InputEventMap.KEY_0</v>
      </c>
      <c r="I127" t="str">
        <f t="shared" si="102"/>
        <v>StreamdeckInput.KEY_0A: InputEventMap.KEY_0,</v>
      </c>
    </row>
    <row r="128" spans="1:9" x14ac:dyDescent="0.45">
      <c r="A128" t="s">
        <v>26</v>
      </c>
      <c r="B128" t="s">
        <v>63</v>
      </c>
      <c r="C128" t="s">
        <v>132</v>
      </c>
      <c r="D128">
        <v>11</v>
      </c>
      <c r="E128" t="str">
        <f t="shared" si="98"/>
        <v>digit_1</v>
      </c>
      <c r="F128" t="str">
        <f t="shared" si="99"/>
        <v>KEY_0B</v>
      </c>
      <c r="G128" t="str">
        <f t="shared" si="100"/>
        <v>SetTime-KEY_0B-digit_1.png</v>
      </c>
      <c r="H128" t="str">
        <f t="shared" si="101"/>
        <v>InputEventMap.KEY_1</v>
      </c>
      <c r="I128" t="str">
        <f t="shared" si="102"/>
        <v>StreamdeckInput.KEY_0B: InputEventMap.KEY_1,</v>
      </c>
    </row>
    <row r="129" spans="1:9" x14ac:dyDescent="0.45">
      <c r="A129" t="s">
        <v>26</v>
      </c>
      <c r="B129" t="s">
        <v>64</v>
      </c>
      <c r="C129" t="s">
        <v>133</v>
      </c>
      <c r="D129">
        <v>12</v>
      </c>
      <c r="E129" t="str">
        <f t="shared" si="98"/>
        <v>digit_2</v>
      </c>
      <c r="F129" t="str">
        <f t="shared" si="99"/>
        <v>KEY_0C</v>
      </c>
      <c r="G129" t="str">
        <f t="shared" si="100"/>
        <v>SetTime-KEY_0C-digit_2.png</v>
      </c>
      <c r="H129" t="str">
        <f t="shared" si="101"/>
        <v>InputEventMap.KEY_2</v>
      </c>
      <c r="I129" t="str">
        <f t="shared" si="102"/>
        <v>StreamdeckInput.KEY_0C: InputEventMap.KEY_2,</v>
      </c>
    </row>
    <row r="130" spans="1:9" x14ac:dyDescent="0.45">
      <c r="A130" t="s">
        <v>26</v>
      </c>
      <c r="B130" t="s">
        <v>65</v>
      </c>
      <c r="C130" t="s">
        <v>134</v>
      </c>
      <c r="D130">
        <v>13</v>
      </c>
      <c r="E130" t="str">
        <f t="shared" si="98"/>
        <v>digit_3</v>
      </c>
      <c r="F130" t="str">
        <f t="shared" si="99"/>
        <v>KEY_0D</v>
      </c>
      <c r="G130" t="str">
        <f t="shared" si="100"/>
        <v>SetTime-KEY_0D-digit_3.png</v>
      </c>
      <c r="H130" t="str">
        <f t="shared" si="101"/>
        <v>InputEventMap.KEY_3</v>
      </c>
      <c r="I130" t="str">
        <f t="shared" si="102"/>
        <v>StreamdeckInput.KEY_0D: InputEventMap.KEY_3,</v>
      </c>
    </row>
    <row r="131" spans="1:9" x14ac:dyDescent="0.45">
      <c r="A131" t="s">
        <v>26</v>
      </c>
      <c r="B131" t="s">
        <v>66</v>
      </c>
      <c r="C131" t="s">
        <v>135</v>
      </c>
      <c r="D131">
        <v>6</v>
      </c>
      <c r="E131" t="str">
        <f t="shared" si="98"/>
        <v>digit_4</v>
      </c>
      <c r="F131" t="str">
        <f t="shared" si="99"/>
        <v>KEY_06</v>
      </c>
      <c r="G131" t="str">
        <f t="shared" si="100"/>
        <v>SetTime-KEY_06-digit_4.png</v>
      </c>
      <c r="H131" t="str">
        <f t="shared" si="101"/>
        <v>InputEventMap.KEY_4</v>
      </c>
      <c r="I131" t="str">
        <f t="shared" si="102"/>
        <v>StreamdeckInput.KEY_06: InputEventMap.KEY_4,</v>
      </c>
    </row>
    <row r="132" spans="1:9" x14ac:dyDescent="0.45">
      <c r="A132" t="s">
        <v>26</v>
      </c>
      <c r="B132" t="s">
        <v>67</v>
      </c>
      <c r="C132" t="s">
        <v>136</v>
      </c>
      <c r="D132">
        <v>7</v>
      </c>
      <c r="E132" t="str">
        <f t="shared" si="98"/>
        <v>digit_5</v>
      </c>
      <c r="F132" t="str">
        <f t="shared" si="99"/>
        <v>KEY_07</v>
      </c>
      <c r="G132" t="str">
        <f t="shared" si="100"/>
        <v>SetTime-KEY_07-digit_5.png</v>
      </c>
      <c r="H132" t="str">
        <f t="shared" si="101"/>
        <v>InputEventMap.KEY_5</v>
      </c>
      <c r="I132" t="str">
        <f t="shared" si="102"/>
        <v>StreamdeckInput.KEY_07: InputEventMap.KEY_5,</v>
      </c>
    </row>
    <row r="133" spans="1:9" x14ac:dyDescent="0.45">
      <c r="A133" t="s">
        <v>26</v>
      </c>
      <c r="B133" t="s">
        <v>68</v>
      </c>
      <c r="C133" t="s">
        <v>137</v>
      </c>
      <c r="D133">
        <v>8</v>
      </c>
      <c r="E133" t="str">
        <f t="shared" si="98"/>
        <v>digit_6</v>
      </c>
      <c r="F133" t="str">
        <f t="shared" si="99"/>
        <v>KEY_08</v>
      </c>
      <c r="G133" t="str">
        <f t="shared" si="100"/>
        <v>SetTime-KEY_08-digit_6.png</v>
      </c>
      <c r="H133" t="str">
        <f t="shared" si="101"/>
        <v>InputEventMap.KEY_6</v>
      </c>
      <c r="I133" t="str">
        <f t="shared" si="102"/>
        <v>StreamdeckInput.KEY_08: InputEventMap.KEY_6,</v>
      </c>
    </row>
    <row r="134" spans="1:9" x14ac:dyDescent="0.45">
      <c r="A134" t="s">
        <v>26</v>
      </c>
      <c r="B134" t="s">
        <v>69</v>
      </c>
      <c r="C134" t="s">
        <v>138</v>
      </c>
      <c r="D134">
        <v>1</v>
      </c>
      <c r="E134" t="str">
        <f t="shared" si="98"/>
        <v>digit_7</v>
      </c>
      <c r="F134" t="str">
        <f t="shared" si="99"/>
        <v>KEY_01</v>
      </c>
      <c r="G134" t="str">
        <f t="shared" si="100"/>
        <v>SetTime-KEY_01-digit_7.png</v>
      </c>
      <c r="H134" t="str">
        <f t="shared" si="101"/>
        <v>InputEventMap.KEY_7</v>
      </c>
      <c r="I134" t="str">
        <f t="shared" si="102"/>
        <v>StreamdeckInput.KEY_01: InputEventMap.KEY_7,</v>
      </c>
    </row>
    <row r="135" spans="1:9" x14ac:dyDescent="0.45">
      <c r="A135" t="s">
        <v>26</v>
      </c>
      <c r="B135" t="s">
        <v>70</v>
      </c>
      <c r="C135" t="s">
        <v>139</v>
      </c>
      <c r="D135">
        <v>2</v>
      </c>
      <c r="E135" t="str">
        <f t="shared" si="98"/>
        <v>digit_8</v>
      </c>
      <c r="F135" t="str">
        <f t="shared" si="99"/>
        <v>KEY_02</v>
      </c>
      <c r="G135" t="str">
        <f t="shared" si="100"/>
        <v>SetTime-KEY_02-digit_8.png</v>
      </c>
      <c r="H135" t="str">
        <f t="shared" si="101"/>
        <v>InputEventMap.KEY_8</v>
      </c>
      <c r="I135" t="str">
        <f t="shared" si="102"/>
        <v>StreamdeckInput.KEY_02: InputEventMap.KEY_8,</v>
      </c>
    </row>
    <row r="136" spans="1:9" x14ac:dyDescent="0.45">
      <c r="A136" t="s">
        <v>26</v>
      </c>
      <c r="B136" t="s">
        <v>71</v>
      </c>
      <c r="C136" t="s">
        <v>140</v>
      </c>
      <c r="D136">
        <v>3</v>
      </c>
      <c r="E136" t="str">
        <f t="shared" si="98"/>
        <v>digit_9</v>
      </c>
      <c r="F136" t="str">
        <f t="shared" si="99"/>
        <v>KEY_03</v>
      </c>
      <c r="G136" t="str">
        <f t="shared" si="100"/>
        <v>SetTime-KEY_03-digit_9.png</v>
      </c>
      <c r="H136" t="str">
        <f t="shared" si="101"/>
        <v>InputEventMap.KEY_9</v>
      </c>
      <c r="I136" t="str">
        <f t="shared" si="102"/>
        <v>StreamdeckInput.KEY_03: InputEventMap.KEY_9,</v>
      </c>
    </row>
    <row r="137" spans="1:9" x14ac:dyDescent="0.45">
      <c r="A137" t="s">
        <v>26</v>
      </c>
      <c r="B137" t="s">
        <v>72</v>
      </c>
      <c r="C137" t="s">
        <v>141</v>
      </c>
      <c r="D137">
        <v>9</v>
      </c>
      <c r="E137" t="str">
        <f t="shared" si="98"/>
        <v>back_space</v>
      </c>
      <c r="F137" t="str">
        <f t="shared" si="99"/>
        <v>KEY_09</v>
      </c>
      <c r="G137" t="str">
        <f t="shared" si="100"/>
        <v>SetTime-KEY_09-back_space.png</v>
      </c>
      <c r="H137" t="str">
        <f t="shared" si="101"/>
        <v>InputEventMap.KEY_BACKSPACE</v>
      </c>
      <c r="I137" t="str">
        <f t="shared" si="102"/>
        <v>StreamdeckInput.KEY_09: InputEventMap.KEY_BACKSPACE,</v>
      </c>
    </row>
    <row r="138" spans="1:9" x14ac:dyDescent="0.45">
      <c r="A138" t="s">
        <v>26</v>
      </c>
      <c r="B138" t="s">
        <v>73</v>
      </c>
      <c r="C138" t="s">
        <v>142</v>
      </c>
      <c r="D138">
        <v>14</v>
      </c>
      <c r="E138" t="str">
        <f t="shared" si="98"/>
        <v>enter</v>
      </c>
      <c r="F138" t="str">
        <f t="shared" si="99"/>
        <v>KEY_0E</v>
      </c>
      <c r="G138" t="str">
        <f t="shared" si="100"/>
        <v>SetTime-KEY_0E-enter.png</v>
      </c>
      <c r="H138" t="str">
        <f t="shared" si="101"/>
        <v>InputEventMap.KEY_ENTER</v>
      </c>
      <c r="I138" t="str">
        <f t="shared" si="102"/>
        <v>StreamdeckInput.KEY_0E: InputEventMap.KEY_ENTER,</v>
      </c>
    </row>
    <row r="139" spans="1:9" x14ac:dyDescent="0.45">
      <c r="A139" t="s">
        <v>30</v>
      </c>
      <c r="B139" t="s">
        <v>98</v>
      </c>
      <c r="C139" t="s">
        <v>145</v>
      </c>
      <c r="D139">
        <v>0</v>
      </c>
      <c r="E139" t="str">
        <f t="shared" ref="E139" si="128">LOWER(
  TRIM(
    SUBSTITUTE(
      LEFT(B139, FIND(" = InputEventMap", B139) - 1),
      CHAR(160),
      " "
    )
  )
)</f>
        <v>screen</v>
      </c>
      <c r="F139" t="str">
        <f t="shared" ref="F139" si="129">"KEY_" &amp; CHOOSE(
    D139+1,
    "00","01","02","03","04","05","06","07","08","09","0A","0B","0C","0D","0E"
)</f>
        <v>KEY_00</v>
      </c>
      <c r="G139" t="str">
        <f t="shared" ref="G139" si="130">_xlfn.CONCAT(A139, "-", F139, "-", E139, ".png")</f>
        <v>StorageManagement-KEY_00-screen.png</v>
      </c>
      <c r="H139" t="str">
        <f t="shared" ref="H139" si="131">MID(B139, FIND("InputEventMap", B139), LEN(B139))</f>
        <v>InputEventMap.KEY_ASTERISK</v>
      </c>
      <c r="I139" t="str">
        <f t="shared" ref="I139" si="132">_xlfn.CONCAT("StreamdeckInput.", F139, ": ", H139, ",")</f>
        <v>StreamdeckInput.KEY_00: InputEventMap.KEY_ASTERISK,</v>
      </c>
    </row>
    <row r="140" spans="1:9" x14ac:dyDescent="0.45">
      <c r="A140" t="s">
        <v>30</v>
      </c>
      <c r="B140" t="s">
        <v>4</v>
      </c>
      <c r="C140" t="s">
        <v>87</v>
      </c>
      <c r="D140">
        <v>4</v>
      </c>
      <c r="E140" t="str">
        <f t="shared" si="98"/>
        <v>help</v>
      </c>
      <c r="F140" t="str">
        <f t="shared" si="99"/>
        <v>KEY_04</v>
      </c>
      <c r="G140" t="str">
        <f t="shared" si="100"/>
        <v>StorageManagement-KEY_04-help.png</v>
      </c>
      <c r="H140" t="str">
        <f t="shared" si="101"/>
        <v>InputEventMap.KEY_ASTERISK</v>
      </c>
      <c r="I140" t="str">
        <f t="shared" si="102"/>
        <v>StreamdeckInput.KEY_04: InputEventMap.KEY_ASTERISK,</v>
      </c>
    </row>
    <row r="141" spans="1:9" x14ac:dyDescent="0.45">
      <c r="A141" t="s">
        <v>30</v>
      </c>
      <c r="B141" t="s">
        <v>5</v>
      </c>
      <c r="C141" t="s">
        <v>88</v>
      </c>
      <c r="D141">
        <v>9</v>
      </c>
      <c r="E141" t="str">
        <f t="shared" ref="E141:E156" si="133">LOWER(
  TRIM(
    SUBSTITUTE(
      LEFT(B141, FIND(" = InputEventMap", B141) - 1),
      CHAR(160),
      " "
    )
  )
)</f>
        <v>menu</v>
      </c>
      <c r="F141" t="str">
        <f t="shared" ref="F141:F156" si="134">"KEY_" &amp; CHOOSE(
    D141+1,
    "00","01","02","03","04","05","06","07","08","09","0A","0B","0C","0D","0E"
)</f>
        <v>KEY_09</v>
      </c>
      <c r="G141" t="str">
        <f t="shared" ref="G141:G156" si="135">_xlfn.CONCAT(A141, "-", F141, "-", E141, ".png")</f>
        <v>StorageManagement-KEY_09-menu.png</v>
      </c>
      <c r="H141" t="str">
        <f t="shared" ref="H141:H156" si="136">MID(B141, FIND("InputEventMap", B141), LEN(B141))</f>
        <v>InputEventMap.KEY_5</v>
      </c>
      <c r="I141" t="str">
        <f t="shared" ref="I141:I156" si="137">_xlfn.CONCAT("StreamdeckInput.", F141, ": ", H141, ",")</f>
        <v>StreamdeckInput.KEY_09: InputEventMap.KEY_5,</v>
      </c>
    </row>
    <row r="142" spans="1:9" x14ac:dyDescent="0.45">
      <c r="A142" t="s">
        <v>30</v>
      </c>
      <c r="B142" t="s">
        <v>74</v>
      </c>
      <c r="C142" t="s">
        <v>146</v>
      </c>
      <c r="D142">
        <v>5</v>
      </c>
      <c r="E142" t="str">
        <f t="shared" si="133"/>
        <v>disconnect_storage</v>
      </c>
      <c r="F142" t="str">
        <f t="shared" si="134"/>
        <v>KEY_05</v>
      </c>
      <c r="G142" t="str">
        <f t="shared" si="135"/>
        <v>StorageManagement-KEY_05-disconnect_storage.png</v>
      </c>
      <c r="H142" t="str">
        <f t="shared" si="136"/>
        <v>InputEventMap.KEY_0</v>
      </c>
      <c r="I142" t="str">
        <f t="shared" si="137"/>
        <v>StreamdeckInput.KEY_05: InputEventMap.KEY_0,</v>
      </c>
    </row>
    <row r="143" spans="1:9" x14ac:dyDescent="0.45">
      <c r="A143" t="s">
        <v>30</v>
      </c>
      <c r="B143" t="s">
        <v>75</v>
      </c>
      <c r="C143" t="s">
        <v>91</v>
      </c>
      <c r="D143">
        <v>1</v>
      </c>
      <c r="E143" t="str">
        <f t="shared" si="133"/>
        <v>detect_rc1</v>
      </c>
      <c r="F143" t="str">
        <f t="shared" si="134"/>
        <v>KEY_01</v>
      </c>
      <c r="G143" t="str">
        <f t="shared" si="135"/>
        <v>StorageManagement-KEY_01-detect_rc1.png</v>
      </c>
      <c r="H143" t="str">
        <f t="shared" si="136"/>
        <v>InputEventMap.KEY_1</v>
      </c>
      <c r="I143" t="str">
        <f t="shared" si="137"/>
        <v>StreamdeckInput.KEY_01: InputEventMap.KEY_1,</v>
      </c>
    </row>
    <row r="144" spans="1:9" x14ac:dyDescent="0.45">
      <c r="A144" t="s">
        <v>30</v>
      </c>
      <c r="B144" t="s">
        <v>76</v>
      </c>
      <c r="C144" t="s">
        <v>91</v>
      </c>
      <c r="D144">
        <v>2</v>
      </c>
      <c r="E144" t="str">
        <f t="shared" si="133"/>
        <v>detect_rc2</v>
      </c>
      <c r="F144" t="str">
        <f t="shared" si="134"/>
        <v>KEY_02</v>
      </c>
      <c r="G144" t="str">
        <f t="shared" si="135"/>
        <v>StorageManagement-KEY_02-detect_rc2.png</v>
      </c>
      <c r="H144" t="str">
        <f t="shared" si="136"/>
        <v>InputEventMap.KEY_3</v>
      </c>
      <c r="I144" t="str">
        <f t="shared" si="137"/>
        <v>StreamdeckInput.KEY_02: InputEventMap.KEY_3,</v>
      </c>
    </row>
    <row r="145" spans="1:9" x14ac:dyDescent="0.45">
      <c r="A145" t="s">
        <v>30</v>
      </c>
      <c r="B145" t="s">
        <v>77</v>
      </c>
      <c r="C145" t="s">
        <v>92</v>
      </c>
      <c r="D145">
        <v>6</v>
      </c>
      <c r="E145" t="str">
        <f t="shared" si="133"/>
        <v>format_rc1</v>
      </c>
      <c r="F145" t="str">
        <f t="shared" si="134"/>
        <v>KEY_06</v>
      </c>
      <c r="G145" t="str">
        <f t="shared" si="135"/>
        <v>StorageManagement-KEY_06-format_rc1.png</v>
      </c>
      <c r="H145" t="str">
        <f t="shared" si="136"/>
        <v>InputEventMap.KEY_4</v>
      </c>
      <c r="I145" t="str">
        <f t="shared" si="137"/>
        <v>StreamdeckInput.KEY_06: InputEventMap.KEY_4,</v>
      </c>
    </row>
    <row r="146" spans="1:9" x14ac:dyDescent="0.45">
      <c r="A146" t="s">
        <v>30</v>
      </c>
      <c r="B146" t="s">
        <v>78</v>
      </c>
      <c r="C146" t="s">
        <v>92</v>
      </c>
      <c r="D146">
        <v>7</v>
      </c>
      <c r="E146" t="str">
        <f t="shared" si="133"/>
        <v>format_rc2</v>
      </c>
      <c r="F146" t="str">
        <f t="shared" si="134"/>
        <v>KEY_07</v>
      </c>
      <c r="G146" t="str">
        <f t="shared" si="135"/>
        <v>StorageManagement-KEY_07-format_rc2.png</v>
      </c>
      <c r="H146" t="str">
        <f t="shared" si="136"/>
        <v>InputEventMap.KEY_6</v>
      </c>
      <c r="I146" t="str">
        <f t="shared" si="137"/>
        <v>StreamdeckInput.KEY_07: InputEventMap.KEY_6,</v>
      </c>
    </row>
    <row r="147" spans="1:9" x14ac:dyDescent="0.45">
      <c r="A147" t="s">
        <v>30</v>
      </c>
      <c r="B147" t="s">
        <v>79</v>
      </c>
      <c r="C147" t="s">
        <v>95</v>
      </c>
      <c r="D147">
        <v>11</v>
      </c>
      <c r="E147" t="str">
        <f t="shared" si="133"/>
        <v>clean_rc1</v>
      </c>
      <c r="F147" t="str">
        <f t="shared" si="134"/>
        <v>KEY_0B</v>
      </c>
      <c r="G147" t="str">
        <f t="shared" si="135"/>
        <v>StorageManagement-KEY_0B-clean_rc1.png</v>
      </c>
      <c r="H147" t="str">
        <f t="shared" si="136"/>
        <v>InputEventMap.KEY_7</v>
      </c>
      <c r="I147" t="str">
        <f t="shared" si="137"/>
        <v>StreamdeckInput.KEY_0B: InputEventMap.KEY_7,</v>
      </c>
    </row>
    <row r="148" spans="1:9" x14ac:dyDescent="0.45">
      <c r="A148" t="s">
        <v>30</v>
      </c>
      <c r="B148" t="s">
        <v>80</v>
      </c>
      <c r="C148" t="s">
        <v>95</v>
      </c>
      <c r="D148">
        <v>12</v>
      </c>
      <c r="E148" t="str">
        <f t="shared" si="133"/>
        <v>clean_rc2</v>
      </c>
      <c r="F148" t="str">
        <f t="shared" si="134"/>
        <v>KEY_0C</v>
      </c>
      <c r="G148" t="str">
        <f t="shared" si="135"/>
        <v>StorageManagement-KEY_0C-clean_rc2.png</v>
      </c>
      <c r="H148" t="str">
        <f t="shared" si="136"/>
        <v>InputEventMap.KEY_9</v>
      </c>
      <c r="I148" t="str">
        <f t="shared" si="137"/>
        <v>StreamdeckInput.KEY_0C: InputEventMap.KEY_9,</v>
      </c>
    </row>
    <row r="149" spans="1:9" x14ac:dyDescent="0.45">
      <c r="A149" t="s">
        <v>8</v>
      </c>
      <c r="B149" t="s">
        <v>98</v>
      </c>
      <c r="C149" t="s">
        <v>147</v>
      </c>
      <c r="D149">
        <v>0</v>
      </c>
      <c r="E149" t="str">
        <f t="shared" ref="E149" si="138">LOWER(
  TRIM(
    SUBSTITUTE(
      LEFT(B149, FIND(" = InputEventMap", B149) - 1),
      CHAR(160),
      " "
    )
  )
)</f>
        <v>screen</v>
      </c>
      <c r="F149" t="str">
        <f t="shared" ref="F149" si="139">"KEY_" &amp; CHOOSE(
    D149+1,
    "00","01","02","03","04","05","06","07","08","09","0A","0B","0C","0D","0E"
)</f>
        <v>KEY_00</v>
      </c>
      <c r="G149" t="str">
        <f t="shared" ref="G149" si="140">_xlfn.CONCAT(A149, "-", F149, "-", E149, ".png")</f>
        <v>System-KEY_00-screen.png</v>
      </c>
      <c r="H149" t="str">
        <f t="shared" ref="H149" si="141">MID(B149, FIND("InputEventMap", B149), LEN(B149))</f>
        <v>InputEventMap.KEY_ASTERISK</v>
      </c>
      <c r="I149" t="str">
        <f t="shared" ref="I149" si="142">_xlfn.CONCAT("StreamdeckInput.", F149, ": ", H149, ",")</f>
        <v>StreamdeckInput.KEY_00: InputEventMap.KEY_ASTERISK,</v>
      </c>
    </row>
    <row r="150" spans="1:9" x14ac:dyDescent="0.45">
      <c r="A150" t="s">
        <v>8</v>
      </c>
      <c r="B150" t="s">
        <v>4</v>
      </c>
      <c r="C150" t="s">
        <v>87</v>
      </c>
      <c r="D150">
        <v>4</v>
      </c>
      <c r="E150" t="str">
        <f t="shared" si="133"/>
        <v>help</v>
      </c>
      <c r="F150" t="str">
        <f t="shared" si="134"/>
        <v>KEY_04</v>
      </c>
      <c r="G150" t="str">
        <f t="shared" si="135"/>
        <v>System-KEY_04-help.png</v>
      </c>
      <c r="H150" t="str">
        <f t="shared" si="136"/>
        <v>InputEventMap.KEY_ASTERISK</v>
      </c>
      <c r="I150" t="str">
        <f t="shared" si="137"/>
        <v>StreamdeckInput.KEY_04: InputEventMap.KEY_ASTERISK,</v>
      </c>
    </row>
    <row r="151" spans="1:9" x14ac:dyDescent="0.45">
      <c r="A151" t="s">
        <v>8</v>
      </c>
      <c r="B151" t="s">
        <v>81</v>
      </c>
      <c r="C151" t="s">
        <v>96</v>
      </c>
      <c r="D151">
        <v>9</v>
      </c>
      <c r="E151" t="str">
        <f t="shared" si="133"/>
        <v>select_main</v>
      </c>
      <c r="F151" t="str">
        <f t="shared" si="134"/>
        <v>KEY_09</v>
      </c>
      <c r="G151" t="str">
        <f t="shared" si="135"/>
        <v>System-KEY_09-select_main.png</v>
      </c>
      <c r="H151" t="str">
        <f t="shared" si="136"/>
        <v>InputEventMap.KEY_1</v>
      </c>
      <c r="I151" t="str">
        <f t="shared" si="137"/>
        <v>StreamdeckInput.KEY_09: InputEventMap.KEY_1,</v>
      </c>
    </row>
    <row r="152" spans="1:9" x14ac:dyDescent="0.45">
      <c r="A152" t="s">
        <v>8</v>
      </c>
      <c r="B152" t="s">
        <v>82</v>
      </c>
      <c r="C152" t="s">
        <v>148</v>
      </c>
      <c r="D152">
        <v>6</v>
      </c>
      <c r="E152" t="str">
        <f t="shared" si="133"/>
        <v>select_language</v>
      </c>
      <c r="F152" t="str">
        <f t="shared" si="134"/>
        <v>KEY_06</v>
      </c>
      <c r="G152" t="str">
        <f t="shared" si="135"/>
        <v>System-KEY_06-select_language.png</v>
      </c>
      <c r="H152" t="str">
        <f t="shared" si="136"/>
        <v>InputEventMap.KEY_2</v>
      </c>
      <c r="I152" t="str">
        <f t="shared" si="137"/>
        <v>StreamdeckInput.KEY_06: InputEventMap.KEY_2,</v>
      </c>
    </row>
    <row r="153" spans="1:9" x14ac:dyDescent="0.45">
      <c r="A153" t="s">
        <v>8</v>
      </c>
      <c r="B153" t="s">
        <v>83</v>
      </c>
      <c r="C153" t="s">
        <v>149</v>
      </c>
      <c r="D153">
        <v>7</v>
      </c>
      <c r="E153" t="str">
        <f t="shared" si="133"/>
        <v>select_storage</v>
      </c>
      <c r="F153" t="str">
        <f t="shared" si="134"/>
        <v>KEY_07</v>
      </c>
      <c r="G153" t="str">
        <f t="shared" si="135"/>
        <v>System-KEY_07-select_storage.png</v>
      </c>
      <c r="H153" t="str">
        <f t="shared" si="136"/>
        <v>InputEventMap.KEY_3</v>
      </c>
      <c r="I153" t="str">
        <f t="shared" si="137"/>
        <v>StreamdeckInput.KEY_07: InputEventMap.KEY_3,</v>
      </c>
    </row>
    <row r="154" spans="1:9" x14ac:dyDescent="0.45">
      <c r="A154" t="s">
        <v>8</v>
      </c>
      <c r="B154" t="s">
        <v>84</v>
      </c>
      <c r="C154" t="s">
        <v>150</v>
      </c>
      <c r="D154">
        <v>11</v>
      </c>
      <c r="E154" t="str">
        <f t="shared" si="133"/>
        <v>set_date</v>
      </c>
      <c r="F154" t="str">
        <f t="shared" si="134"/>
        <v>KEY_0B</v>
      </c>
      <c r="G154" t="str">
        <f t="shared" si="135"/>
        <v>System-KEY_0B-set_date.png</v>
      </c>
      <c r="H154" t="str">
        <f t="shared" si="136"/>
        <v>InputEventMap.KEY_4</v>
      </c>
      <c r="I154" t="str">
        <f t="shared" si="137"/>
        <v>StreamdeckInput.KEY_0B: InputEventMap.KEY_4,</v>
      </c>
    </row>
    <row r="155" spans="1:9" x14ac:dyDescent="0.45">
      <c r="A155" t="s">
        <v>8</v>
      </c>
      <c r="B155" t="s">
        <v>85</v>
      </c>
      <c r="C155" t="s">
        <v>151</v>
      </c>
      <c r="D155">
        <v>12</v>
      </c>
      <c r="E155" t="str">
        <f t="shared" si="133"/>
        <v>set_time</v>
      </c>
      <c r="F155" t="str">
        <f t="shared" si="134"/>
        <v>KEY_0C</v>
      </c>
      <c r="G155" t="str">
        <f t="shared" si="135"/>
        <v>System-KEY_0C-set_time.png</v>
      </c>
      <c r="H155" t="str">
        <f t="shared" si="136"/>
        <v>InputEventMap.KEY_6</v>
      </c>
      <c r="I155" t="str">
        <f t="shared" si="137"/>
        <v>StreamdeckInput.KEY_0C: InputEventMap.KEY_6,</v>
      </c>
    </row>
    <row r="156" spans="1:9" x14ac:dyDescent="0.45">
      <c r="A156" t="s">
        <v>8</v>
      </c>
      <c r="B156" t="s">
        <v>45</v>
      </c>
      <c r="C156" t="s">
        <v>102</v>
      </c>
      <c r="D156">
        <v>14</v>
      </c>
      <c r="E156" t="str">
        <f t="shared" si="133"/>
        <v>stop_system</v>
      </c>
      <c r="F156" t="str">
        <f t="shared" si="134"/>
        <v>KEY_0E</v>
      </c>
      <c r="G156" t="str">
        <f t="shared" si="135"/>
        <v>System-KEY_0E-stop_system.png</v>
      </c>
      <c r="H156" t="str">
        <f t="shared" si="136"/>
        <v>InputEventMap.KEY_9</v>
      </c>
      <c r="I156" t="str">
        <f t="shared" si="137"/>
        <v>StreamdeckInput.KEY_0E: InputEventMap.KEY_9,</v>
      </c>
    </row>
  </sheetData>
  <autoFilter ref="A1:I156" xr:uid="{47861C0B-96C3-4FC0-B828-7FD785B358D7}"/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Hofstetter</dc:creator>
  <cp:lastModifiedBy>Irene Hofstetter</cp:lastModifiedBy>
  <cp:lastPrinted>2026-01-04T18:48:57Z</cp:lastPrinted>
  <dcterms:created xsi:type="dcterms:W3CDTF">2025-12-25T10:48:21Z</dcterms:created>
  <dcterms:modified xsi:type="dcterms:W3CDTF">2026-01-26T16:33:10Z</dcterms:modified>
</cp:coreProperties>
</file>